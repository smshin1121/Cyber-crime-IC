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3e8adf041de32844/04_박사_학위_논문/05_데이터/"/>
    </mc:Choice>
  </mc:AlternateContent>
  <xr:revisionPtr revIDLastSave="12" documentId="8_{F1C8FF79-FF2F-4FE8-915F-A0686CACFE0B}" xr6:coauthVersionLast="47" xr6:coauthVersionMax="47" xr10:uidLastSave="{ED41C474-C97A-40FA-8B2D-1D30BC466A61}"/>
  <bookViews>
    <workbookView xWindow="40815" yWindow="-135" windowWidth="26520" windowHeight="16470" xr2:uid="{E862B748-8355-4EDB-88FB-7005CE809833}"/>
  </bookViews>
  <sheets>
    <sheet name="1_데이터수집(URL)" sheetId="4" r:id="rId1"/>
    <sheet name="2_데이터추출(국가_기관_범죄유형)" sheetId="5" r:id="rId2"/>
    <sheet name="기관_추출" sheetId="3" r:id="rId3"/>
    <sheet name="국가_추출" sheetId="2" r:id="rId4"/>
    <sheet name="범죄유형_추출" sheetId="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5" i="5" l="1"/>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167" i="1" s="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<sst xmlns="http://schemas.openxmlformats.org/spreadsheetml/2006/main" count="4596" uniqueCount="1843">
  <si>
    <t>죄명(한글)</t>
  </si>
  <si>
    <t>죄명(한글)2</t>
  </si>
  <si>
    <t>죄명(한글)3</t>
  </si>
  <si>
    <t>죄명(한글)4</t>
  </si>
  <si>
    <t>죄명(한글)5</t>
  </si>
  <si>
    <t>죄명(한글)6</t>
  </si>
  <si>
    <t>죄명(한글)7</t>
  </si>
  <si>
    <t>죄명(한글)8</t>
  </si>
  <si>
    <t>죄명(한글)9</t>
  </si>
  <si>
    <t>죄명(한글)10</t>
  </si>
  <si>
    <t>죄명(한글)11</t>
  </si>
  <si>
    <t>죄명(한글)12</t>
  </si>
  <si>
    <t>비고</t>
    <phoneticPr fontId="2" type="noConversion"/>
  </si>
  <si>
    <t>JPMorgan</t>
  </si>
  <si>
    <t>해킹</t>
  </si>
  <si>
    <t>금융사기</t>
  </si>
  <si>
    <t>증권사기</t>
  </si>
  <si>
    <t>불법자금세탁</t>
  </si>
  <si>
    <t>비트코인거래</t>
    <phoneticPr fontId="2" type="noConversion"/>
  </si>
  <si>
    <t>불법온라인카지노운영</t>
  </si>
  <si>
    <t>crackdown operation</t>
  </si>
  <si>
    <t>트로이목마유포</t>
  </si>
  <si>
    <t>개인정보탈취</t>
  </si>
  <si>
    <t>웹캠해킹</t>
  </si>
  <si>
    <t>international operation</t>
  </si>
  <si>
    <t>봇넷운영</t>
  </si>
  <si>
    <t>악성코드유포</t>
  </si>
  <si>
    <t>DDoS공격</t>
  </si>
  <si>
    <t>(가칭)Operation Phishing Syndicate</t>
  </si>
  <si>
    <t>이메일계정해킹</t>
  </si>
  <si>
    <t>Strike Week</t>
  </si>
  <si>
    <t>불법데이터유출</t>
  </si>
  <si>
    <t>컴퓨터사기</t>
  </si>
  <si>
    <t>악성코드제작</t>
  </si>
  <si>
    <t>피싱</t>
  </si>
  <si>
    <t>지적재산도용</t>
  </si>
  <si>
    <t>Operation Source</t>
  </si>
  <si>
    <t>금융기관해킹</t>
    <phoneticPr fontId="2" type="noConversion"/>
  </si>
  <si>
    <t>랜섬웨어</t>
  </si>
  <si>
    <t>루트킷</t>
  </si>
  <si>
    <t>가짜백신</t>
  </si>
  <si>
    <t>Operation Shrouded Horizon</t>
  </si>
  <si>
    <t>신용카드도용</t>
  </si>
  <si>
    <t>Simda 봇넷</t>
  </si>
  <si>
    <t>Joint Investigation Team operation</t>
  </si>
  <si>
    <t>금융기관해킹</t>
  </si>
  <si>
    <t>범죄수익은닉</t>
  </si>
  <si>
    <t>Operation Pleiades</t>
  </si>
  <si>
    <t>비트코인갈취</t>
  </si>
  <si>
    <t>협박</t>
    <phoneticPr fontId="2" type="noConversion"/>
  </si>
  <si>
    <t>DDoS-for-hire</t>
  </si>
  <si>
    <t>Operation Avalanche</t>
  </si>
  <si>
    <t>스팸유포</t>
    <phoneticPr fontId="2" type="noConversion"/>
  </si>
  <si>
    <t>(가칭)Operation Russian Ransom</t>
  </si>
  <si>
    <t>Operation Hyperion</t>
  </si>
  <si>
    <t>다크웹불법물품거래</t>
  </si>
  <si>
    <t>마약밀매</t>
    <phoneticPr fontId="2" type="noConversion"/>
  </si>
  <si>
    <t>Operation Ciconia Alba</t>
  </si>
  <si>
    <t>인신매매</t>
  </si>
  <si>
    <t>노동착취</t>
  </si>
  <si>
    <t>범죄조직운영</t>
  </si>
  <si>
    <t>Global Airport Action Day</t>
  </si>
  <si>
    <t>항공권사기</t>
  </si>
  <si>
    <t>불법이민</t>
  </si>
  <si>
    <t>(가칭)Operation Mike</t>
  </si>
  <si>
    <t>비즈니스이메일사기</t>
    <phoneticPr fontId="2" type="noConversion"/>
  </si>
  <si>
    <t>CEO사기</t>
  </si>
  <si>
    <t>(가칭)Operation Teenage Breach</t>
  </si>
  <si>
    <t>컴퓨터오용</t>
  </si>
  <si>
    <t>불법컴퓨터접근</t>
  </si>
  <si>
    <t>(가칭)Operation PeerWatch</t>
  </si>
  <si>
    <t>아동성착취물유통</t>
    <phoneticPr fontId="2" type="noConversion"/>
  </si>
  <si>
    <t>아동성착취</t>
  </si>
  <si>
    <t>Operation Bayonet</t>
  </si>
  <si>
    <t>해킹도구판매</t>
  </si>
  <si>
    <t>(가칭)Operation CardHack London</t>
  </si>
  <si>
    <t>신용카드사기</t>
  </si>
  <si>
    <t>불법금융정보거래</t>
  </si>
  <si>
    <t>(가칭)Operation ASEAN Sweep</t>
  </si>
  <si>
    <t>스팸유포</t>
  </si>
  <si>
    <t>(가칭)Operation WannaCry</t>
  </si>
  <si>
    <t>(가칭)Operation Fiji Fraud</t>
  </si>
  <si>
    <t>불법온라인도박</t>
  </si>
  <si>
    <t>(가칭)Operation MoneyTaker</t>
  </si>
  <si>
    <t>금융사기</t>
    <phoneticPr fontId="2" type="noConversion"/>
  </si>
  <si>
    <t>정보유출</t>
  </si>
  <si>
    <t>자금탈취</t>
  </si>
  <si>
    <t>Andromeda Botnet Dismantling</t>
  </si>
  <si>
    <t>범죄적인프라활용</t>
  </si>
  <si>
    <t>(가칭)Operation QatarLeak</t>
  </si>
  <si>
    <t>해킹</t>
    <phoneticPr fontId="2" type="noConversion"/>
  </si>
  <si>
    <t>허위정보유포</t>
  </si>
  <si>
    <t>국가이미지훼손</t>
  </si>
  <si>
    <t>Bakovia</t>
  </si>
  <si>
    <t>컴퓨터시스템방해</t>
  </si>
  <si>
    <t>(가칭)Operation Manila Gamble</t>
  </si>
  <si>
    <t>불법온라인도박</t>
    <phoneticPr fontId="2" type="noConversion"/>
  </si>
  <si>
    <t>(가칭)Operation EagleNet</t>
  </si>
  <si>
    <t>부패</t>
  </si>
  <si>
    <t>(가칭)Operation CardStorm</t>
  </si>
  <si>
    <t>신용카드정보유출</t>
    <phoneticPr fontId="2" type="noConversion"/>
  </si>
  <si>
    <t>(가칭)Operation Carbanak</t>
  </si>
  <si>
    <t>사기</t>
  </si>
  <si>
    <t>Operation Power Off</t>
  </si>
  <si>
    <t>Operation WireWire</t>
  </si>
  <si>
    <t>이메일계정침해</t>
  </si>
  <si>
    <t>FIN7</t>
  </si>
  <si>
    <t>(가칭)Operation Infraud</t>
  </si>
  <si>
    <t>불법하드웨어유통</t>
  </si>
  <si>
    <t>(가칭)Operation RexMundi</t>
  </si>
  <si>
    <t>사이버협박</t>
  </si>
  <si>
    <t>불법침입</t>
  </si>
  <si>
    <t>Charlie Foxter</t>
  </si>
  <si>
    <t>비자규정위반</t>
  </si>
  <si>
    <t>EndOCSEA Europe</t>
  </si>
  <si>
    <t>아동성착취</t>
    <phoneticPr fontId="2" type="noConversion"/>
  </si>
  <si>
    <t>아동성착취물유통</t>
  </si>
  <si>
    <t>아동성착취물제작유포</t>
  </si>
  <si>
    <t>(가칭)Operation ATM Havoc</t>
  </si>
  <si>
    <t>ATM해킹</t>
    <phoneticPr fontId="2" type="noConversion"/>
  </si>
  <si>
    <t>(가칭)Operation GozNym</t>
  </si>
  <si>
    <t>악성코드유포</t>
    <phoneticPr fontId="2" type="noConversion"/>
  </si>
  <si>
    <t>온라인뱅킹자격증명도용</t>
  </si>
  <si>
    <t>은행계좌불법접근</t>
  </si>
  <si>
    <t>자금절도</t>
  </si>
  <si>
    <t>(가칭)Operation Thallium Block</t>
  </si>
  <si>
    <t>스피어피싱</t>
  </si>
  <si>
    <t>계정탈취</t>
    <phoneticPr fontId="2" type="noConversion"/>
  </si>
  <si>
    <t>네트워크보안침해</t>
  </si>
  <si>
    <t>민감정보탈취</t>
  </si>
  <si>
    <t>Interpol cybercrime operation across Africa</t>
  </si>
  <si>
    <t>온라인사기</t>
  </si>
  <si>
    <t>개인정보탈취</t>
    <phoneticPr fontId="2" type="noConversion"/>
  </si>
  <si>
    <t>Trigger IV</t>
  </si>
  <si>
    <t>테러리즘</t>
  </si>
  <si>
    <t>무기밀매</t>
    <phoneticPr fontId="2" type="noConversion"/>
  </si>
  <si>
    <t>불법이민</t>
    <phoneticPr fontId="2" type="noConversion"/>
  </si>
  <si>
    <t>불법상품밀매</t>
  </si>
  <si>
    <t>Operation Rewired</t>
  </si>
  <si>
    <t>컴퓨터관련사기</t>
  </si>
  <si>
    <t>신원도용</t>
  </si>
  <si>
    <t>IM RAT 단속</t>
  </si>
  <si>
    <t>불법원격접근</t>
  </si>
  <si>
    <t>키로깅</t>
  </si>
  <si>
    <t>웹캠불법접근</t>
  </si>
  <si>
    <t>절도</t>
  </si>
  <si>
    <t>보이어리즘</t>
  </si>
  <si>
    <t>Mikhailov case</t>
  </si>
  <si>
    <t>국가기밀유출</t>
    <phoneticPr fontId="2" type="noConversion"/>
  </si>
  <si>
    <t>대외정보제공</t>
  </si>
  <si>
    <t>협력</t>
  </si>
  <si>
    <t>불법정보유포</t>
  </si>
  <si>
    <t>(가칭)Operation Manila 600</t>
  </si>
  <si>
    <t>투자사기</t>
  </si>
  <si>
    <t>불법취업</t>
  </si>
  <si>
    <t>불법체류</t>
  </si>
  <si>
    <t>비자규정위반</t>
    <phoneticPr fontId="2" type="noConversion"/>
  </si>
  <si>
    <t>xDedic</t>
  </si>
  <si>
    <t>불법서버접근권거래</t>
  </si>
  <si>
    <t>VIDTF Operation</t>
  </si>
  <si>
    <t>아동성학대</t>
  </si>
  <si>
    <t>Operation Goldfish Alpha</t>
  </si>
  <si>
    <t>봇넷운영</t>
    <phoneticPr fontId="2" type="noConversion"/>
  </si>
  <si>
    <t>비즈니스이메일사기</t>
  </si>
  <si>
    <t>크립토재킹</t>
    <phoneticPr fontId="2" type="noConversion"/>
  </si>
  <si>
    <t>2BaGoldMule</t>
  </si>
  <si>
    <t>신분도용</t>
  </si>
  <si>
    <t>가짜회사설립</t>
  </si>
  <si>
    <t>불법자금세탁</t>
    <phoneticPr fontId="2" type="noConversion"/>
  </si>
  <si>
    <t>Operation Nova</t>
  </si>
  <si>
    <t>계정탈취</t>
  </si>
  <si>
    <t>WashYourCyberHands</t>
  </si>
  <si>
    <t>불법데이터유출</t>
    <phoneticPr fontId="2" type="noConversion"/>
  </si>
  <si>
    <t>Operation NightFury</t>
  </si>
  <si>
    <t>DDoS공격</t>
    <phoneticPr fontId="2" type="noConversion"/>
  </si>
  <si>
    <t>(가칭)Operation Latvian Wash</t>
  </si>
  <si>
    <t>Carding Action 2020</t>
  </si>
  <si>
    <t>Operation Falcon</t>
  </si>
  <si>
    <t>스팸이메일사기</t>
  </si>
  <si>
    <t>(가칭)Operation Karachi Stalk</t>
  </si>
  <si>
    <t>사이버불링</t>
    <phoneticPr fontId="2" type="noConversion"/>
  </si>
  <si>
    <t>협박</t>
  </si>
  <si>
    <t>허위계정운영</t>
  </si>
  <si>
    <t>명예훼손</t>
  </si>
  <si>
    <t>(가칭)Operation Africa CyberDesk</t>
  </si>
  <si>
    <t>온라인사기</t>
    <phoneticPr fontId="2" type="noConversion"/>
  </si>
  <si>
    <t>Classiscam</t>
  </si>
  <si>
    <t>Operation Ironside</t>
  </si>
  <si>
    <t>살인청부</t>
    <phoneticPr fontId="2" type="noConversion"/>
  </si>
  <si>
    <t>Operation Secreto</t>
  </si>
  <si>
    <t>카드사기</t>
  </si>
  <si>
    <t>신용카드부정사용</t>
  </si>
  <si>
    <t>Operation Lyrebird</t>
  </si>
  <si>
    <t>악성코드개발</t>
    <phoneticPr fontId="2" type="noConversion"/>
  </si>
  <si>
    <t>Operation DarkHunTOR</t>
  </si>
  <si>
    <t>Infraud 조직</t>
  </si>
  <si>
    <t>공갈</t>
    <phoneticPr fontId="2" type="noConversion"/>
  </si>
  <si>
    <t>불법정보유통</t>
  </si>
  <si>
    <t>Operation HAECHI-II</t>
  </si>
  <si>
    <t>로맨스스캠</t>
    <phoneticPr fontId="2" type="noConversion"/>
  </si>
  <si>
    <t>투자사기</t>
    <phoneticPr fontId="2" type="noConversion"/>
  </si>
  <si>
    <t>Operation Fox Hunt 2</t>
  </si>
  <si>
    <t>불법소득획득</t>
  </si>
  <si>
    <t>Operation HAECHI III</t>
  </si>
  <si>
    <t>보이스피싱</t>
  </si>
  <si>
    <t>섹스토션</t>
    <phoneticPr fontId="2" type="noConversion"/>
  </si>
  <si>
    <t>Operation Chakra</t>
  </si>
  <si>
    <t>랜섬웨어</t>
    <phoneticPr fontId="2" type="noConversion"/>
  </si>
  <si>
    <t>신용카드사기</t>
    <phoneticPr fontId="2" type="noConversion"/>
  </si>
  <si>
    <t>(가칭)Operation TrickBot Witte</t>
  </si>
  <si>
    <t>(가칭)Operation Black Axe</t>
  </si>
  <si>
    <t>실업보험사기</t>
  </si>
  <si>
    <t>Methbot, 3ve</t>
  </si>
  <si>
    <t>광고사기</t>
    <phoneticPr fontId="2" type="noConversion"/>
  </si>
  <si>
    <t>전자기록위변조</t>
  </si>
  <si>
    <t>Operation Jackal</t>
  </si>
  <si>
    <t>인신매매</t>
    <phoneticPr fontId="2" type="noConversion"/>
  </si>
  <si>
    <t>Operation Trojan Shield</t>
  </si>
  <si>
    <t>(가칭)Operation Marketplace A</t>
  </si>
  <si>
    <t>와이어사기</t>
    <phoneticPr fontId="2" type="noConversion"/>
  </si>
  <si>
    <t>접근장치사기</t>
    <phoneticPr fontId="2" type="noConversion"/>
  </si>
  <si>
    <t>신분도용</t>
    <phoneticPr fontId="2" type="noConversion"/>
  </si>
  <si>
    <t>불법접근장치유통</t>
  </si>
  <si>
    <t>불법접근장치보유</t>
  </si>
  <si>
    <t>불법접근장치권유등</t>
  </si>
  <si>
    <t>Operation Delilah</t>
  </si>
  <si>
    <t>불법이득취득</t>
  </si>
  <si>
    <t>Operation Killer Bee</t>
  </si>
  <si>
    <t>신용정보도용</t>
  </si>
  <si>
    <t>(가칭)Operation Molo Sanction</t>
  </si>
  <si>
    <t>Africa Cyber Surge Operation</t>
  </si>
  <si>
    <t>Operation Discovery</t>
  </si>
  <si>
    <t>경제적·성적갈취</t>
  </si>
  <si>
    <t>불법무기소지</t>
  </si>
  <si>
    <t>공무원사칭</t>
    <phoneticPr fontId="2" type="noConversion"/>
  </si>
  <si>
    <t>(가칭)Operation Raccoon Sweep</t>
  </si>
  <si>
    <t>컴퓨터관련사기</t>
    <phoneticPr fontId="2" type="noConversion"/>
  </si>
  <si>
    <t>불법데이터도용</t>
  </si>
  <si>
    <t>HAECHI IV</t>
  </si>
  <si>
    <t>이커머스사기</t>
  </si>
  <si>
    <t>암호화폐사기</t>
  </si>
  <si>
    <t>악성코드</t>
  </si>
  <si>
    <t>(가칭)Operation IRS Scamcall</t>
  </si>
  <si>
    <t>공무원사칭사기</t>
    <phoneticPr fontId="2" type="noConversion"/>
  </si>
  <si>
    <t>사기</t>
    <phoneticPr fontId="2" type="noConversion"/>
  </si>
  <si>
    <t>Qakbot</t>
  </si>
  <si>
    <t>불법금융거래</t>
  </si>
  <si>
    <t>Operation Cookie Monster</t>
  </si>
  <si>
    <t>불법데이터판매</t>
  </si>
  <si>
    <t>서버침입및정보탈취</t>
  </si>
  <si>
    <t>Operation Chakra-II</t>
  </si>
  <si>
    <t>기술지원사기</t>
    <phoneticPr fontId="2" type="noConversion"/>
  </si>
  <si>
    <t>불법콜센터운영</t>
  </si>
  <si>
    <t>Operation Zinger</t>
  </si>
  <si>
    <t>Africa Cyber Surge II</t>
  </si>
  <si>
    <t>메시징플랫폼사기</t>
  </si>
  <si>
    <t>예술품사기</t>
  </si>
  <si>
    <t>머니뮬활동</t>
  </si>
  <si>
    <t>(가칭)Operation Hive Collapse</t>
  </si>
  <si>
    <t>조직적범죄</t>
  </si>
  <si>
    <t>(가칭)Operation RansomCollective</t>
  </si>
  <si>
    <t>갈취</t>
  </si>
  <si>
    <t>Operation Nervone</t>
  </si>
  <si>
    <t>Operation Synergia</t>
  </si>
  <si>
    <t>계정정보유출</t>
  </si>
  <si>
    <t>불법서버운영</t>
  </si>
  <si>
    <t>(가칭)Operation FakeMall Takedown</t>
  </si>
  <si>
    <t>범죄조직운영</t>
    <phoneticPr fontId="2" type="noConversion"/>
  </si>
  <si>
    <t>Operation Contender 2.0</t>
  </si>
  <si>
    <t>Operation Trust No One</t>
  </si>
  <si>
    <t>Operation Bali Becik 2024</t>
  </si>
  <si>
    <t>Operation Kraken</t>
  </si>
  <si>
    <t>마약밀매</t>
  </si>
  <si>
    <t>암호화통신플랫폼불법운영</t>
  </si>
  <si>
    <t>(가칭)Operation AI Sentinel</t>
  </si>
  <si>
    <t>악성코드개발</t>
  </si>
  <si>
    <t>선거개입</t>
  </si>
  <si>
    <t>가짜계정생성</t>
  </si>
  <si>
    <t>불법데이터수집</t>
  </si>
  <si>
    <t>(가칭)Operation Genesis</t>
  </si>
  <si>
    <t>온라인범죄시장운영</t>
    <phoneticPr fontId="2" type="noConversion"/>
  </si>
  <si>
    <t>신원도용</t>
    <phoneticPr fontId="2" type="noConversion"/>
  </si>
  <si>
    <t>불법계정접근권판매</t>
  </si>
  <si>
    <t>Operation Destabilise</t>
  </si>
  <si>
    <t>불법암호화폐거래</t>
  </si>
  <si>
    <t>첩보활동자금지원</t>
    <phoneticPr fontId="2" type="noConversion"/>
  </si>
  <si>
    <t>Operation Morpheus</t>
  </si>
  <si>
    <t>불법소프트웨어유통</t>
  </si>
  <si>
    <t>(가칭)Operation Ivanov Cutoff</t>
  </si>
  <si>
    <t>카드정보유출(카딩)</t>
  </si>
  <si>
    <t>(가칭)Operation Rydox</t>
  </si>
  <si>
    <t>불법접근장치판매</t>
  </si>
  <si>
    <t>불법소프트웨어유통</t>
    <phoneticPr fontId="2" type="noConversion"/>
  </si>
  <si>
    <t>(가칭)Operation ScamCamp</t>
  </si>
  <si>
    <t>강제노동</t>
  </si>
  <si>
    <t>Operation Synergia II</t>
  </si>
  <si>
    <t>Operation Jackal III</t>
  </si>
  <si>
    <t>실업보험사기</t>
    <phoneticPr fontId="2" type="noConversion"/>
  </si>
  <si>
    <t>폭력범죄</t>
  </si>
  <si>
    <t>(가칭)Operation Warzone RAT</t>
  </si>
  <si>
    <t>트로이목마유포</t>
    <phoneticPr fontId="2" type="noConversion"/>
  </si>
  <si>
    <t>불법전자감청장치판매</t>
  </si>
  <si>
    <t>컴퓨터무단침입음모</t>
  </si>
  <si>
    <t>컴퓨터무단접근및손상</t>
    <phoneticPr fontId="2" type="noConversion"/>
  </si>
  <si>
    <t>(가칭)Operation 911 S5</t>
  </si>
  <si>
    <t>팬데믹구제금융사기</t>
  </si>
  <si>
    <t>컴퓨터사기</t>
    <phoneticPr fontId="2" type="noConversion"/>
  </si>
  <si>
    <t>Operation HAECHI V</t>
  </si>
  <si>
    <t>Operation Cronos</t>
  </si>
  <si>
    <t>컴퓨터무단침입</t>
  </si>
  <si>
    <t>금전갈취</t>
  </si>
  <si>
    <t>Operation Cyber Slaves</t>
  </si>
  <si>
    <t>사이버노예</t>
    <phoneticPr fontId="2" type="noConversion"/>
  </si>
  <si>
    <t>인간밀매</t>
  </si>
  <si>
    <t>(가칭)Operation PopeyeTools</t>
  </si>
  <si>
    <t>(가칭)Operation Lusaka Scam</t>
  </si>
  <si>
    <t>컴퓨터관련허위표시</t>
  </si>
  <si>
    <t>불법네트워크운영</t>
  </si>
  <si>
    <t>(가칭)Operation JP Morgan</t>
  </si>
  <si>
    <t>악성광고</t>
  </si>
  <si>
    <t>(가칭)Operation Belgium Phish</t>
  </si>
  <si>
    <t>비싱</t>
    <phoneticPr fontId="2" type="noConversion"/>
  </si>
  <si>
    <t>(가칭)Operation XHelper</t>
  </si>
  <si>
    <t>마구계좌운영</t>
  </si>
  <si>
    <t>(가칭)Operation Telangana Scam</t>
  </si>
  <si>
    <t>아르바이트사기</t>
  </si>
  <si>
    <t>코인사기</t>
    <phoneticPr fontId="2" type="noConversion"/>
  </si>
  <si>
    <t>암호화폐자금이체</t>
  </si>
  <si>
    <t>(가칭)Operation Naija CyberFront</t>
  </si>
  <si>
    <t>Operation Serengeti</t>
  </si>
  <si>
    <t>은행시스템조작</t>
  </si>
  <si>
    <t>(가칭)Operation Grandparent Scam</t>
  </si>
  <si>
    <t>할머니사기</t>
    <phoneticPr fontId="2" type="noConversion"/>
  </si>
  <si>
    <t>Operation Africa Cyber Surge II</t>
  </si>
  <si>
    <t>스파이웨어</t>
  </si>
  <si>
    <t>테러자금조달</t>
  </si>
  <si>
    <t>Operation Chakra-III</t>
  </si>
  <si>
    <t>컴퓨터및은행계좌무단접근</t>
  </si>
  <si>
    <t>Operation Nebulae</t>
  </si>
  <si>
    <t>(가칭)Operation Kandy Sweep</t>
  </si>
  <si>
    <t>여권및비자위조</t>
  </si>
  <si>
    <t>(가칭)Operation Nemesis Market</t>
  </si>
  <si>
    <t>불법데이터거래</t>
  </si>
  <si>
    <t>(가칭)Operation Quezon FakeGov</t>
  </si>
  <si>
    <t>기관사칭</t>
    <phoneticPr fontId="2" type="noConversion"/>
  </si>
  <si>
    <t>(가칭)Operation Karen Weblords</t>
  </si>
  <si>
    <t>(가칭)Operation Qakbot</t>
  </si>
  <si>
    <t>(가칭)Operation Mekong ScamGrid</t>
  </si>
  <si>
    <t>불법마켓플레이스운영</t>
  </si>
  <si>
    <t>Operation Dolos</t>
  </si>
  <si>
    <t>(가칭)Operation Grey Nickel</t>
  </si>
  <si>
    <t>신분사기</t>
    <phoneticPr fontId="2" type="noConversion"/>
  </si>
  <si>
    <t>딥페이크</t>
    <phoneticPr fontId="2" type="noConversion"/>
  </si>
  <si>
    <t>원격인증시스템우회</t>
  </si>
  <si>
    <t>Operation Phobos Aetor</t>
  </si>
  <si>
    <t>컴퓨터시스템무단접근</t>
  </si>
  <si>
    <t>(가칭)Operation EuroPak Fraud</t>
  </si>
  <si>
    <t>(가칭)Operation SA-ID Theft</t>
  </si>
  <si>
    <t>Operation Endgame</t>
  </si>
  <si>
    <t>정보탈취</t>
  </si>
  <si>
    <t>Operation Chakra-V</t>
  </si>
  <si>
    <t>기술지원사기</t>
  </si>
  <si>
    <t>불법전화센터운영</t>
  </si>
  <si>
    <t>(가칭)Operation HackMarkets</t>
  </si>
  <si>
    <t>(가칭)Operation Lumma Cut</t>
  </si>
  <si>
    <t>(가칭)Operation Asia ScamHub</t>
  </si>
  <si>
    <t>불법취업알선</t>
  </si>
  <si>
    <t>(가칭)Operation Crypto Blender</t>
  </si>
  <si>
    <t>무면허자금송금사업운영</t>
  </si>
  <si>
    <t>암호화폐절도</t>
  </si>
  <si>
    <t>Operation Moonlander</t>
  </si>
  <si>
    <t>컴퓨터해킹</t>
  </si>
  <si>
    <t>불법프록시서비스유통</t>
  </si>
  <si>
    <t>도메인거짓등록</t>
  </si>
  <si>
    <t>global operation</t>
  </si>
  <si>
    <t>crackdown</t>
  </si>
  <si>
    <t>암호화폐사기</t>
    <phoneticPr fontId="2" type="noConversion"/>
  </si>
  <si>
    <t>강제노동</t>
    <phoneticPr fontId="2" type="noConversion"/>
  </si>
  <si>
    <t>위조여권및서류</t>
  </si>
  <si>
    <t>강제구금</t>
  </si>
  <si>
    <t>Operation Secure</t>
  </si>
  <si>
    <t>(가칭)Operation Phobos Lock</t>
  </si>
  <si>
    <t>위조</t>
  </si>
  <si>
    <t>컴퓨터무단접근및손상</t>
  </si>
  <si>
    <t>(가칭)Operation FourSeas</t>
  </si>
  <si>
    <t>Operation Talent</t>
  </si>
  <si>
    <t>신분사기</t>
  </si>
  <si>
    <t>접근장치사기</t>
  </si>
  <si>
    <t>패스워드거래음모</t>
  </si>
  <si>
    <t>HeartSender Group</t>
  </si>
  <si>
    <t>국제적디지털사기</t>
    <phoneticPr fontId="2" type="noConversion"/>
  </si>
  <si>
    <t>(가칭)Operation Jackpot Crew</t>
  </si>
  <si>
    <t>은행절도</t>
  </si>
  <si>
    <t>Eagle Flush Operation</t>
  </si>
  <si>
    <t>금융테러</t>
  </si>
  <si>
    <t>사이버테러</t>
    <phoneticPr fontId="2" type="noConversion"/>
  </si>
  <si>
    <t>Operation Red Card</t>
  </si>
  <si>
    <t>모바일뱅킹사기</t>
    <phoneticPr fontId="2" type="noConversion"/>
  </si>
  <si>
    <t>불법도박사기</t>
    <phoneticPr fontId="2" type="noConversion"/>
  </si>
  <si>
    <t>SIM박스사기</t>
  </si>
  <si>
    <t>SMS피싱</t>
  </si>
  <si>
    <t>악성코드기반휴대폰해킹</t>
  </si>
  <si>
    <t>biggest anti-cybercrime operation</t>
  </si>
  <si>
    <t>헌법질서위협시도</t>
    <phoneticPr fontId="2" type="noConversion"/>
  </si>
  <si>
    <t>사이버테러</t>
  </si>
  <si>
    <t>Operation Platforma</t>
  </si>
  <si>
    <t>가짜투자플랫폼운영</t>
    <phoneticPr fontId="2" type="noConversion"/>
  </si>
  <si>
    <t>Operation Hawk</t>
  </si>
  <si>
    <t>미성년자위협</t>
    <phoneticPr fontId="2" type="noConversion"/>
  </si>
  <si>
    <t>FBI seizure operation</t>
  </si>
  <si>
    <t>Qakbot disruption</t>
  </si>
  <si>
    <t>와이어사기</t>
  </si>
  <si>
    <t>디지털자산절도</t>
    <phoneticPr fontId="2" type="noConversion"/>
  </si>
  <si>
    <t>cybercrime sting</t>
  </si>
  <si>
    <t>STF operation</t>
  </si>
  <si>
    <t>불법게임및거래앱</t>
  </si>
  <si>
    <t>디지털구속</t>
  </si>
  <si>
    <t>(가칭)Operation Naija-Japan Scam</t>
  </si>
  <si>
    <t>해킹도구및악성코드판매</t>
  </si>
  <si>
    <t>피싱</t>
    <phoneticPr fontId="2" type="noConversion"/>
  </si>
  <si>
    <t>Operation Chakra-IV</t>
  </si>
  <si>
    <t>은행계좌불법접근</t>
    <phoneticPr fontId="2" type="noConversion"/>
  </si>
  <si>
    <t>자금유도</t>
  </si>
  <si>
    <t>(가칭)Operation Kanlaon Tower</t>
  </si>
  <si>
    <t>작전명2</t>
  </si>
  <si>
    <t>연번</t>
    <phoneticPr fontId="2" type="noConversion"/>
  </si>
  <si>
    <t>참여국가</t>
    <phoneticPr fontId="2" type="noConversion"/>
  </si>
  <si>
    <t>참여국가2</t>
  </si>
  <si>
    <t>참여국가3</t>
  </si>
  <si>
    <t>참여국가4</t>
  </si>
  <si>
    <t>참여국가5</t>
  </si>
  <si>
    <t>참여국가6</t>
  </si>
  <si>
    <t>참여국가7</t>
  </si>
  <si>
    <t>참여국가8</t>
  </si>
  <si>
    <t>참여국가9</t>
  </si>
  <si>
    <t>참여국가10</t>
  </si>
  <si>
    <t>참여국가11</t>
  </si>
  <si>
    <t>참여국가12</t>
  </si>
  <si>
    <t>참여국가13</t>
  </si>
  <si>
    <t>참여국가14</t>
  </si>
  <si>
    <t>참여국가15</t>
  </si>
  <si>
    <t>참여국가16</t>
  </si>
  <si>
    <t>참여국가17</t>
  </si>
  <si>
    <t>참여국가18</t>
  </si>
  <si>
    <t>참여국가19</t>
  </si>
  <si>
    <t>참여국가20</t>
  </si>
  <si>
    <t>참여국가21</t>
  </si>
  <si>
    <t>참여국가22</t>
  </si>
  <si>
    <t>미국</t>
  </si>
  <si>
    <t>이스라엘</t>
  </si>
  <si>
    <t>러시아</t>
  </si>
  <si>
    <t>조지아</t>
  </si>
  <si>
    <t>프랑스</t>
  </si>
  <si>
    <t>노르웨이</t>
  </si>
  <si>
    <t>루마니아</t>
  </si>
  <si>
    <t>독일</t>
  </si>
  <si>
    <t>네덜란드</t>
  </si>
  <si>
    <t>영국</t>
  </si>
  <si>
    <t>리투아니아</t>
  </si>
  <si>
    <t>이탈리아</t>
  </si>
  <si>
    <t>스페인</t>
  </si>
  <si>
    <t>오스트리아</t>
  </si>
  <si>
    <t>벨기에</t>
  </si>
  <si>
    <t>세르비아</t>
  </si>
  <si>
    <t>크로아티아</t>
  </si>
  <si>
    <t>핀란드</t>
  </si>
  <si>
    <t>아일랜드</t>
  </si>
  <si>
    <t>폴란드</t>
  </si>
  <si>
    <t>미국</t>
    <phoneticPr fontId="2" type="noConversion"/>
  </si>
  <si>
    <t>유럽연합</t>
    <phoneticPr fontId="2" type="noConversion"/>
  </si>
  <si>
    <t>이탈리아</t>
    <phoneticPr fontId="2" type="noConversion"/>
  </si>
  <si>
    <t>독일</t>
    <phoneticPr fontId="2" type="noConversion"/>
  </si>
  <si>
    <t>스웨덴</t>
  </si>
  <si>
    <t>보스니아헤르체고비나</t>
  </si>
  <si>
    <t>라트비아</t>
  </si>
  <si>
    <t>키프로스</t>
  </si>
  <si>
    <t>호주</t>
  </si>
  <si>
    <t>나이지리아</t>
  </si>
  <si>
    <t>덴마크</t>
  </si>
  <si>
    <t>캐나다</t>
  </si>
  <si>
    <t>콜롬비아</t>
  </si>
  <si>
    <t>코스타리카</t>
  </si>
  <si>
    <t>마케도니아</t>
  </si>
  <si>
    <t>브라질</t>
  </si>
  <si>
    <t>룩셈부르크</t>
  </si>
  <si>
    <t>일본</t>
  </si>
  <si>
    <t>싱가포르</t>
    <phoneticPr fontId="2" type="noConversion"/>
  </si>
  <si>
    <t>우크라이나</t>
  </si>
  <si>
    <t>유럽연합</t>
  </si>
  <si>
    <t>스위스</t>
  </si>
  <si>
    <t>헝가리</t>
  </si>
  <si>
    <t>포르투갈</t>
  </si>
  <si>
    <t>일본</t>
    <phoneticPr fontId="2" type="noConversion"/>
  </si>
  <si>
    <t>뉴질랜드</t>
  </si>
  <si>
    <t>캐나다</t>
    <phoneticPr fontId="2" type="noConversion"/>
  </si>
  <si>
    <t>말레이시아</t>
  </si>
  <si>
    <t>남아프리카공화국</t>
  </si>
  <si>
    <t>중국</t>
  </si>
  <si>
    <t>영국</t>
    <phoneticPr fontId="2" type="noConversion"/>
  </si>
  <si>
    <t>몰타</t>
  </si>
  <si>
    <t>태국</t>
  </si>
  <si>
    <t>인도네시아</t>
  </si>
  <si>
    <t>미얀마</t>
  </si>
  <si>
    <t>필리핀</t>
  </si>
  <si>
    <t>싱가포르</t>
  </si>
  <si>
    <t>베트남</t>
  </si>
  <si>
    <t>중국</t>
    <phoneticPr fontId="2" type="noConversion"/>
  </si>
  <si>
    <t>한국</t>
    <phoneticPr fontId="2" type="noConversion"/>
  </si>
  <si>
    <t>피지</t>
  </si>
  <si>
    <t>벨라루스</t>
  </si>
  <si>
    <t>몬테네그로</t>
  </si>
  <si>
    <t>대만</t>
  </si>
  <si>
    <t>카타르</t>
  </si>
  <si>
    <t>프랑스</t>
    <phoneticPr fontId="2" type="noConversion"/>
  </si>
  <si>
    <t>대만</t>
    <phoneticPr fontId="2" type="noConversion"/>
  </si>
  <si>
    <t>홍콩</t>
  </si>
  <si>
    <t>모리셔스</t>
  </si>
  <si>
    <t>코소보</t>
  </si>
  <si>
    <t>네팔</t>
  </si>
  <si>
    <t>알바니아</t>
  </si>
  <si>
    <t>아르메니아</t>
  </si>
  <si>
    <t>아제르바이잔</t>
  </si>
  <si>
    <t>보스니아헤르체고비나</t>
    <phoneticPr fontId="2" type="noConversion"/>
  </si>
  <si>
    <t>몰도바</t>
  </si>
  <si>
    <t>터키</t>
  </si>
  <si>
    <t>우크라이나</t>
    <phoneticPr fontId="2" type="noConversion"/>
  </si>
  <si>
    <t>불가리아</t>
  </si>
  <si>
    <t>케냐</t>
  </si>
  <si>
    <t>코트디부아르</t>
    <phoneticPr fontId="2" type="noConversion"/>
  </si>
  <si>
    <t>알제리</t>
  </si>
  <si>
    <t>바레인</t>
  </si>
  <si>
    <t>이집트</t>
  </si>
  <si>
    <t>이라크</t>
  </si>
  <si>
    <t>요르단</t>
  </si>
  <si>
    <t>쿠웨이트</t>
  </si>
  <si>
    <t>리비아</t>
  </si>
  <si>
    <t>모리타니</t>
  </si>
  <si>
    <t>모로코</t>
  </si>
  <si>
    <t>오만</t>
  </si>
  <si>
    <t>팔레스타인</t>
  </si>
  <si>
    <t>사우디아라비아</t>
  </si>
  <si>
    <t>수단</t>
  </si>
  <si>
    <t>튀니지</t>
  </si>
  <si>
    <t>아랍에미리트</t>
  </si>
  <si>
    <t>예멘</t>
  </si>
  <si>
    <t>가나</t>
  </si>
  <si>
    <t>체코</t>
  </si>
  <si>
    <t>그리스</t>
  </si>
  <si>
    <t>슬로베니아</t>
  </si>
  <si>
    <t>인도네시아</t>
    <phoneticPr fontId="2" type="noConversion"/>
  </si>
  <si>
    <t>미얀마</t>
    <phoneticPr fontId="2" type="noConversion"/>
  </si>
  <si>
    <t>인터폴회원국</t>
    <phoneticPr fontId="2" type="noConversion"/>
  </si>
  <si>
    <t>파키스탄</t>
  </si>
  <si>
    <t>아랍에미리트</t>
    <phoneticPr fontId="2" type="noConversion"/>
  </si>
  <si>
    <t>아프리카</t>
    <phoneticPr fontId="2" type="noConversion"/>
  </si>
  <si>
    <t>불가리아</t>
    <phoneticPr fontId="2" type="noConversion"/>
  </si>
  <si>
    <t>루마니아</t>
    <phoneticPr fontId="2" type="noConversion"/>
  </si>
  <si>
    <t>모로코</t>
    <phoneticPr fontId="2" type="noConversion"/>
  </si>
  <si>
    <t>북마케도니아</t>
  </si>
  <si>
    <t>앵골라</t>
  </si>
  <si>
    <t>브루나이</t>
  </si>
  <si>
    <t>캄보디아</t>
  </si>
  <si>
    <t>인도</t>
  </si>
  <si>
    <t>한국</t>
  </si>
  <si>
    <t>라오스</t>
  </si>
  <si>
    <t>몰디브</t>
  </si>
  <si>
    <t>마카오</t>
  </si>
  <si>
    <t>북미연합</t>
    <phoneticPr fontId="2" type="noConversion"/>
  </si>
  <si>
    <t>러시아</t>
    <phoneticPr fontId="2" type="noConversion"/>
  </si>
  <si>
    <t>나이지리아</t>
    <phoneticPr fontId="2" type="noConversion"/>
  </si>
  <si>
    <t>카자흐스탄</t>
  </si>
  <si>
    <t>에스토니아</t>
  </si>
  <si>
    <t>말레이시아</t>
    <phoneticPr fontId="2" type="noConversion"/>
  </si>
  <si>
    <t>핀란드</t>
    <phoneticPr fontId="2" type="noConversion"/>
  </si>
  <si>
    <t>도미니카공화국</t>
  </si>
  <si>
    <t>우간다</t>
  </si>
  <si>
    <t>유럽10개국이상</t>
  </si>
  <si>
    <t>카메룬</t>
  </si>
  <si>
    <t>감비아</t>
  </si>
  <si>
    <t>케냐</t>
    <phoneticPr fontId="2" type="noConversion"/>
  </si>
  <si>
    <t>아일랜드</t>
    <phoneticPr fontId="2" type="noConversion"/>
  </si>
  <si>
    <t>아르헨티나</t>
  </si>
  <si>
    <t>칠레</t>
  </si>
  <si>
    <t>코트디부아르</t>
  </si>
  <si>
    <t>아시아</t>
  </si>
  <si>
    <t>라틴아메리카</t>
    <phoneticPr fontId="2" type="noConversion"/>
  </si>
  <si>
    <t>라틴아메리카</t>
  </si>
  <si>
    <t>아이슬란드</t>
  </si>
  <si>
    <t>이란</t>
  </si>
  <si>
    <t>르완다</t>
  </si>
  <si>
    <t>에스토니아</t>
    <phoneticPr fontId="2" type="noConversion"/>
  </si>
  <si>
    <t>중동</t>
  </si>
  <si>
    <t>폴란드</t>
    <phoneticPr fontId="2" type="noConversion"/>
  </si>
  <si>
    <t>태국</t>
    <phoneticPr fontId="2" type="noConversion"/>
  </si>
  <si>
    <t>아프가니스탄</t>
  </si>
  <si>
    <t>잠비아</t>
  </si>
  <si>
    <t>페루</t>
  </si>
  <si>
    <t>두바이</t>
  </si>
  <si>
    <t>세네갈</t>
    <phoneticPr fontId="2" type="noConversion"/>
  </si>
  <si>
    <t>앙골라</t>
    <phoneticPr fontId="2" type="noConversion"/>
  </si>
  <si>
    <t>모잠비크</t>
  </si>
  <si>
    <t>앙골라</t>
  </si>
  <si>
    <t>베냉</t>
  </si>
  <si>
    <t>콩고민주공화국</t>
  </si>
  <si>
    <t>가봉</t>
  </si>
  <si>
    <t>세네갈</t>
  </si>
  <si>
    <t>탄자니아</t>
  </si>
  <si>
    <t>짐바브웨</t>
    <phoneticPr fontId="2" type="noConversion"/>
  </si>
  <si>
    <t>스리랑카</t>
  </si>
  <si>
    <t>필리핀</t>
    <phoneticPr fontId="2" type="noConversion"/>
  </si>
  <si>
    <t>남아프리카공화국</t>
    <phoneticPr fontId="2" type="noConversion"/>
  </si>
  <si>
    <t>그리스</t>
    <phoneticPr fontId="2" type="noConversion"/>
  </si>
  <si>
    <t>카자흐스탄</t>
    <phoneticPr fontId="2" type="noConversion"/>
  </si>
  <si>
    <t>라오스</t>
    <phoneticPr fontId="2" type="noConversion"/>
  </si>
  <si>
    <t>나우루</t>
  </si>
  <si>
    <t>홍콩</t>
    <phoneticPr fontId="2" type="noConversion"/>
  </si>
  <si>
    <t>호주</t>
    <phoneticPr fontId="2" type="noConversion"/>
  </si>
  <si>
    <t>베네수엘라</t>
  </si>
  <si>
    <t>토고</t>
  </si>
  <si>
    <t>참여기관</t>
    <phoneticPr fontId="2" type="noConversion"/>
  </si>
  <si>
    <t>참여기관2</t>
  </si>
  <si>
    <t>참여기관3</t>
  </si>
  <si>
    <t>참여기관4</t>
  </si>
  <si>
    <t>참여기관5</t>
  </si>
  <si>
    <t>참여기관6</t>
  </si>
  <si>
    <t>참여기관7</t>
  </si>
  <si>
    <t>참여기관8</t>
  </si>
  <si>
    <t>참여기관9</t>
  </si>
  <si>
    <t>참여기관10</t>
  </si>
  <si>
    <t>참여기관11</t>
  </si>
  <si>
    <t>참여기관12</t>
  </si>
  <si>
    <t>참여기관13</t>
  </si>
  <si>
    <t>참여기관14</t>
  </si>
  <si>
    <t>참여기관15</t>
  </si>
  <si>
    <t>참여기관16</t>
  </si>
  <si>
    <t>참여기관17</t>
  </si>
  <si>
    <t>참여기관18</t>
  </si>
  <si>
    <t>참여기관19</t>
  </si>
  <si>
    <t>참여기관20</t>
  </si>
  <si>
    <t>참여기관21</t>
  </si>
  <si>
    <t>참여기관22</t>
  </si>
  <si>
    <t>DOJ</t>
  </si>
  <si>
    <t>FBI</t>
  </si>
  <si>
    <t>뉴욕남부지검</t>
  </si>
  <si>
    <t>이스라엘경찰</t>
  </si>
  <si>
    <t>Europol</t>
    <phoneticPr fontId="2" type="noConversion"/>
  </si>
  <si>
    <t>프랑스경찰</t>
  </si>
  <si>
    <t>노르웨이경찰</t>
  </si>
  <si>
    <t>루마니아경찰</t>
  </si>
  <si>
    <t>Europol</t>
  </si>
  <si>
    <t>BKA</t>
    <phoneticPr fontId="2" type="noConversion"/>
  </si>
  <si>
    <t>네덜란드경찰</t>
    <phoneticPr fontId="2" type="noConversion"/>
  </si>
  <si>
    <t>영국경찰</t>
    <phoneticPr fontId="2" type="noConversion"/>
  </si>
  <si>
    <t>프랑스경찰</t>
    <phoneticPr fontId="2" type="noConversion"/>
  </si>
  <si>
    <t>루마니아경찰</t>
    <phoneticPr fontId="2" type="noConversion"/>
  </si>
  <si>
    <t>리투아니아경찰</t>
    <phoneticPr fontId="2" type="noConversion"/>
  </si>
  <si>
    <t>이탈리아경찰</t>
    <phoneticPr fontId="2" type="noConversion"/>
  </si>
  <si>
    <t>스페인경찰</t>
    <phoneticPr fontId="2" type="noConversion"/>
  </si>
  <si>
    <t>오스트리아경찰</t>
    <phoneticPr fontId="2" type="noConversion"/>
  </si>
  <si>
    <t>벨기에경찰</t>
    <phoneticPr fontId="2" type="noConversion"/>
  </si>
  <si>
    <t>세르비아경찰</t>
    <phoneticPr fontId="2" type="noConversion"/>
  </si>
  <si>
    <t>크로아티아경찰</t>
    <phoneticPr fontId="2" type="noConversion"/>
  </si>
  <si>
    <t>핀란드경찰</t>
    <phoneticPr fontId="2" type="noConversion"/>
  </si>
  <si>
    <t>아일랜드경찰</t>
    <phoneticPr fontId="2" type="noConversion"/>
  </si>
  <si>
    <t>Eurojust</t>
    <phoneticPr fontId="2" type="noConversion"/>
  </si>
  <si>
    <t>폴란드경찰</t>
  </si>
  <si>
    <t>NCA</t>
    <phoneticPr fontId="2" type="noConversion"/>
  </si>
  <si>
    <t>J-CAT</t>
    <phoneticPr fontId="2" type="noConversion"/>
  </si>
  <si>
    <t>McAfee</t>
    <phoneticPr fontId="2" type="noConversion"/>
  </si>
  <si>
    <t>Kaspersky</t>
    <phoneticPr fontId="2" type="noConversion"/>
  </si>
  <si>
    <t>Shadowserver</t>
  </si>
  <si>
    <t>스웨덴경찰</t>
    <phoneticPr fontId="2" type="noConversion"/>
  </si>
  <si>
    <t>보스니아경찰</t>
    <phoneticPr fontId="2" type="noConversion"/>
  </si>
  <si>
    <t>라트비아경찰</t>
    <phoneticPr fontId="2" type="noConversion"/>
  </si>
  <si>
    <t>키프로스경찰</t>
    <phoneticPr fontId="2" type="noConversion"/>
  </si>
  <si>
    <t>호주연방경찰</t>
    <phoneticPr fontId="2" type="noConversion"/>
  </si>
  <si>
    <t>나이지리아경찰</t>
    <phoneticPr fontId="2" type="noConversion"/>
  </si>
  <si>
    <t>덴마크경찰</t>
    <phoneticPr fontId="2" type="noConversion"/>
  </si>
  <si>
    <t>캐나다경찰</t>
    <phoneticPr fontId="2" type="noConversion"/>
  </si>
  <si>
    <t>콜롬비아경찰</t>
    <phoneticPr fontId="2" type="noConversion"/>
  </si>
  <si>
    <t>코스타리카경찰</t>
    <phoneticPr fontId="2" type="noConversion"/>
  </si>
  <si>
    <t>BKA</t>
  </si>
  <si>
    <t>이스라엘경찰</t>
    <phoneticPr fontId="2" type="noConversion"/>
  </si>
  <si>
    <t>마케도니아경찰</t>
    <phoneticPr fontId="2" type="noConversion"/>
  </si>
  <si>
    <t>브라질경찰</t>
    <phoneticPr fontId="2" type="noConversion"/>
  </si>
  <si>
    <t>INTERPOL</t>
  </si>
  <si>
    <t>룩셈부르크경찰</t>
  </si>
  <si>
    <t>러시아경찰</t>
    <phoneticPr fontId="2" type="noConversion"/>
  </si>
  <si>
    <t>Microsoft</t>
    <phoneticPr fontId="2" type="noConversion"/>
  </si>
  <si>
    <t>TrendMicro</t>
  </si>
  <si>
    <t>일본사이버방위연구소</t>
    <phoneticPr fontId="2" type="noConversion"/>
  </si>
  <si>
    <t>Eurojust</t>
  </si>
  <si>
    <t>우크라이나경찰</t>
    <phoneticPr fontId="2" type="noConversion"/>
  </si>
  <si>
    <t>USSS</t>
    <phoneticPr fontId="2" type="noConversion"/>
  </si>
  <si>
    <t>일본경찰</t>
    <phoneticPr fontId="2" type="noConversion"/>
  </si>
  <si>
    <t>스위스경찰</t>
    <phoneticPr fontId="2" type="noConversion"/>
  </si>
  <si>
    <t>IC4</t>
    <phoneticPr fontId="2" type="noConversion"/>
  </si>
  <si>
    <t>헝가리경찰</t>
    <phoneticPr fontId="2" type="noConversion"/>
  </si>
  <si>
    <t>노르웨이경찰</t>
    <phoneticPr fontId="2" type="noConversion"/>
  </si>
  <si>
    <t>포르투갈경찰</t>
    <phoneticPr fontId="2" type="noConversion"/>
  </si>
  <si>
    <t>Symantec</t>
    <phoneticPr fontId="2" type="noConversion"/>
  </si>
  <si>
    <t>Norton</t>
    <phoneticPr fontId="2" type="noConversion"/>
  </si>
  <si>
    <t>Flashpoint</t>
    <phoneticPr fontId="2" type="noConversion"/>
  </si>
  <si>
    <t>FBI</t>
    <phoneticPr fontId="2" type="noConversion"/>
  </si>
  <si>
    <t>FELEG</t>
    <phoneticPr fontId="2" type="noConversion"/>
  </si>
  <si>
    <t>뉴질랜드경찰</t>
    <phoneticPr fontId="2" type="noConversion"/>
  </si>
  <si>
    <t>네덜란드경찰</t>
  </si>
  <si>
    <t>스웨덴경찰</t>
  </si>
  <si>
    <t>Frontex</t>
    <phoneticPr fontId="2" type="noConversion"/>
  </si>
  <si>
    <t>Ameripol</t>
    <phoneticPr fontId="2" type="noConversion"/>
  </si>
  <si>
    <t>Frontex</t>
  </si>
  <si>
    <t>IATA</t>
  </si>
  <si>
    <t>Perseuss</t>
  </si>
  <si>
    <t>EFCC</t>
    <phoneticPr fontId="2" type="noConversion"/>
  </si>
  <si>
    <t>웨일스경찰</t>
  </si>
  <si>
    <t>몰타경찰</t>
    <phoneticPr fontId="2" type="noConversion"/>
  </si>
  <si>
    <t>DEA</t>
    <phoneticPr fontId="2" type="noConversion"/>
  </si>
  <si>
    <t>독일연방경찰</t>
    <phoneticPr fontId="2" type="noConversion"/>
  </si>
  <si>
    <t>리투아니아경찰</t>
  </si>
  <si>
    <t>캐나다경찰</t>
  </si>
  <si>
    <t>태국경찰</t>
  </si>
  <si>
    <t>영국경찰</t>
  </si>
  <si>
    <t>국제법집행기관</t>
  </si>
  <si>
    <t>TrendMicro</t>
    <phoneticPr fontId="2" type="noConversion"/>
  </si>
  <si>
    <t>Booz Allen Hamilton</t>
    <phoneticPr fontId="2" type="noConversion"/>
  </si>
  <si>
    <t>BritishTelecom</t>
  </si>
  <si>
    <t>Fortinet</t>
  </si>
  <si>
    <t>Palo Alto Networks</t>
    <phoneticPr fontId="2" type="noConversion"/>
  </si>
  <si>
    <t>인도네시아경찰</t>
    <phoneticPr fontId="2" type="noConversion"/>
  </si>
  <si>
    <t>말레이시아경찰</t>
    <phoneticPr fontId="2" type="noConversion"/>
  </si>
  <si>
    <t>미얀마경찰</t>
    <phoneticPr fontId="2" type="noConversion"/>
  </si>
  <si>
    <t>필리핀경찰</t>
    <phoneticPr fontId="2" type="noConversion"/>
  </si>
  <si>
    <t>싱가포르경찰</t>
    <phoneticPr fontId="2" type="noConversion"/>
  </si>
  <si>
    <t>태국경찰</t>
    <phoneticPr fontId="2" type="noConversion"/>
  </si>
  <si>
    <t>베트남경찰</t>
    <phoneticPr fontId="2" type="noConversion"/>
  </si>
  <si>
    <t>중국공안</t>
    <phoneticPr fontId="2" type="noConversion"/>
  </si>
  <si>
    <t>HAURI</t>
    <phoneticPr fontId="2" type="noConversion"/>
  </si>
  <si>
    <t>미국정부</t>
  </si>
  <si>
    <t>피지경찰</t>
  </si>
  <si>
    <t>중국대사관</t>
    <phoneticPr fontId="2" type="noConversion"/>
  </si>
  <si>
    <t>Group-IB</t>
    <phoneticPr fontId="2" type="noConversion"/>
  </si>
  <si>
    <t>카타르경찰</t>
    <phoneticPr fontId="2" type="noConversion"/>
  </si>
  <si>
    <t>카타르정부통신청</t>
    <phoneticPr fontId="2" type="noConversion"/>
  </si>
  <si>
    <t>필리핀국가수사국</t>
    <phoneticPr fontId="2" type="noConversion"/>
  </si>
  <si>
    <t>벨라루스경찰</t>
  </si>
  <si>
    <t>대만경찰</t>
    <phoneticPr fontId="2" type="noConversion"/>
  </si>
  <si>
    <t>스코틀랜드경찰</t>
    <phoneticPr fontId="2" type="noConversion"/>
  </si>
  <si>
    <t>HSI</t>
    <phoneticPr fontId="2" type="noConversion"/>
  </si>
  <si>
    <t>OFAC</t>
    <phoneticPr fontId="2" type="noConversion"/>
  </si>
  <si>
    <t>미국우편검찰청</t>
  </si>
  <si>
    <t>시애틀연방지방법원</t>
  </si>
  <si>
    <t>프랑스법집행기관</t>
  </si>
  <si>
    <t>코소보경찰</t>
    <phoneticPr fontId="2" type="noConversion"/>
  </si>
  <si>
    <t>프랑스국가경찰</t>
    <phoneticPr fontId="2" type="noConversion"/>
  </si>
  <si>
    <t>네팔중앙수사국</t>
  </si>
  <si>
    <t>네팔경찰</t>
  </si>
  <si>
    <t>유럽평의회</t>
    <phoneticPr fontId="2" type="noConversion"/>
  </si>
  <si>
    <t>FEVAC</t>
    <phoneticPr fontId="2" type="noConversion"/>
  </si>
  <si>
    <t>몰도바경찰</t>
    <phoneticPr fontId="2" type="noConversion"/>
  </si>
  <si>
    <t>벨라루스경찰</t>
    <phoneticPr fontId="2" type="noConversion"/>
  </si>
  <si>
    <t>펜실베이니아연방검찰</t>
    <phoneticPr fontId="2" type="noConversion"/>
  </si>
  <si>
    <t>불가리아조직범죄수사국</t>
  </si>
  <si>
    <t>조지아검찰</t>
    <phoneticPr fontId="2" type="noConversion"/>
  </si>
  <si>
    <t>MSTIC</t>
    <phoneticPr fontId="2" type="noConversion"/>
  </si>
  <si>
    <t>버지니아연방지방법원</t>
    <phoneticPr fontId="2" type="noConversion"/>
  </si>
  <si>
    <t>AIMC</t>
    <phoneticPr fontId="2" type="noConversion"/>
  </si>
  <si>
    <t>GCCPOL</t>
    <phoneticPr fontId="2" type="noConversion"/>
  </si>
  <si>
    <t>NAUSS</t>
    <phoneticPr fontId="2" type="noConversion"/>
  </si>
  <si>
    <t>벨기에경찰</t>
  </si>
  <si>
    <t>콜롬비아경찰</t>
  </si>
  <si>
    <t>체코경찰</t>
  </si>
  <si>
    <t>스페인경찰</t>
  </si>
  <si>
    <t>러시아연방보안국</t>
    <phoneticPr fontId="2" type="noConversion"/>
  </si>
  <si>
    <t>필리핀이민국</t>
    <phoneticPr fontId="2" type="noConversion"/>
  </si>
  <si>
    <t>중국대사관</t>
  </si>
  <si>
    <t>우크라이나경찰</t>
  </si>
  <si>
    <t>INTERPOL</t>
    <phoneticPr fontId="2" type="noConversion"/>
  </si>
  <si>
    <t>라트비아경찰</t>
  </si>
  <si>
    <t>불가리아경찰</t>
  </si>
  <si>
    <t>조지아내무부</t>
  </si>
  <si>
    <t>이탈리아경찰</t>
  </si>
  <si>
    <t>스위스경찰</t>
  </si>
  <si>
    <t>호주경찰</t>
    <phoneticPr fontId="2" type="noConversion"/>
  </si>
  <si>
    <t>오스트리아경찰</t>
  </si>
  <si>
    <t>카탈루냐경찰</t>
    <phoneticPr fontId="2" type="noConversion"/>
  </si>
  <si>
    <t>Group-IB</t>
  </si>
  <si>
    <t>Sanguine Security</t>
    <phoneticPr fontId="2" type="noConversion"/>
  </si>
  <si>
    <t>헝가리경찰</t>
  </si>
  <si>
    <t>파키스탄연방수사국</t>
    <phoneticPr fontId="2" type="noConversion"/>
  </si>
  <si>
    <t>트위터</t>
  </si>
  <si>
    <t>두바이경찰</t>
  </si>
  <si>
    <t>영국외교부</t>
    <phoneticPr fontId="2" type="noConversion"/>
  </si>
  <si>
    <t>호주연방경찰</t>
  </si>
  <si>
    <t>뉴질랜드경찰</t>
  </si>
  <si>
    <t>덴마크경찰</t>
  </si>
  <si>
    <t>그리스경찰</t>
  </si>
  <si>
    <t>FinCEN</t>
    <phoneticPr fontId="2" type="noConversion"/>
  </si>
  <si>
    <t>모로코경찰</t>
  </si>
  <si>
    <t>홍콩경찰</t>
    <phoneticPr fontId="2" type="noConversion"/>
  </si>
  <si>
    <t>마카오경찰</t>
    <phoneticPr fontId="2" type="noConversion"/>
  </si>
  <si>
    <t>두바이검찰</t>
  </si>
  <si>
    <t>한국경찰</t>
    <phoneticPr fontId="2" type="noConversion"/>
  </si>
  <si>
    <t>인도경찰</t>
    <phoneticPr fontId="2" type="noConversion"/>
  </si>
  <si>
    <t>불가리아경찰</t>
    <phoneticPr fontId="2" type="noConversion"/>
  </si>
  <si>
    <t>인도중앙수사국</t>
    <phoneticPr fontId="2" type="noConversion"/>
  </si>
  <si>
    <t>텍사스주경찰</t>
  </si>
  <si>
    <t>White Ops</t>
    <phoneticPr fontId="2" type="noConversion"/>
  </si>
  <si>
    <t>Webzilla</t>
    <phoneticPr fontId="2" type="noConversion"/>
  </si>
  <si>
    <t>Google</t>
    <phoneticPr fontId="2" type="noConversion"/>
  </si>
  <si>
    <t>텍사스연방검찰</t>
    <phoneticPr fontId="2" type="noConversion"/>
  </si>
  <si>
    <t>CyberTOOLBELT</t>
  </si>
  <si>
    <t>Asean Cybercrime Operations Desk</t>
    <phoneticPr fontId="2" type="noConversion"/>
  </si>
  <si>
    <t>싱가포르정부</t>
  </si>
  <si>
    <t>AFRIPOL</t>
  </si>
  <si>
    <t>Kaspersky</t>
  </si>
  <si>
    <t>도미니카공화국검찰</t>
    <phoneticPr fontId="2" type="noConversion"/>
  </si>
  <si>
    <t>산티아고검찰</t>
  </si>
  <si>
    <t>한국경찰</t>
  </si>
  <si>
    <t>필리핀경찰</t>
  </si>
  <si>
    <t>독일연방경찰</t>
  </si>
  <si>
    <t>몰도바경찰</t>
  </si>
  <si>
    <t>Microsoft</t>
  </si>
  <si>
    <t>Amazon</t>
  </si>
  <si>
    <t>싱가포르경찰</t>
  </si>
  <si>
    <t>JPC3</t>
    <phoneticPr fontId="2" type="noConversion"/>
  </si>
  <si>
    <t>AFRIPOL</t>
    <phoneticPr fontId="2" type="noConversion"/>
  </si>
  <si>
    <t>Coinbase</t>
    <phoneticPr fontId="2" type="noConversion"/>
  </si>
  <si>
    <t>각국경찰및수사기관</t>
  </si>
  <si>
    <t>OrangeS.A.</t>
    <phoneticPr fontId="2" type="noConversion"/>
  </si>
  <si>
    <t>코트디부아르정부</t>
    <phoneticPr fontId="2" type="noConversion"/>
  </si>
  <si>
    <t>독일검찰청</t>
    <phoneticPr fontId="2" type="noConversion"/>
  </si>
  <si>
    <t>코트디부아르경찰</t>
    <phoneticPr fontId="2" type="noConversion"/>
  </si>
  <si>
    <t>나이지리아경찰</t>
  </si>
  <si>
    <t>World Economic Forum</t>
    <phoneticPr fontId="2" type="noConversion"/>
  </si>
  <si>
    <t>Cybercrime Atlas</t>
    <phoneticPr fontId="2" type="noConversion"/>
  </si>
  <si>
    <t>Cyber Threat Alliance</t>
    <phoneticPr fontId="2" type="noConversion"/>
  </si>
  <si>
    <t>Fortinet</t>
    <phoneticPr fontId="2" type="noConversion"/>
  </si>
  <si>
    <t>PayPal</t>
    <phoneticPr fontId="2" type="noConversion"/>
  </si>
  <si>
    <t>인도네시아이민국</t>
    <phoneticPr fontId="2" type="noConversion"/>
  </si>
  <si>
    <t>말레시아경찰</t>
    <phoneticPr fontId="2" type="noConversion"/>
  </si>
  <si>
    <t>아이슬란드경찰</t>
  </si>
  <si>
    <t>OpenAI</t>
  </si>
  <si>
    <t>Meta</t>
    <phoneticPr fontId="2" type="noConversion"/>
  </si>
  <si>
    <t>폴란드경찰</t>
    <phoneticPr fontId="2" type="noConversion"/>
  </si>
  <si>
    <t>Fortra</t>
    <phoneticPr fontId="2" type="noConversion"/>
  </si>
  <si>
    <t>BAESystems</t>
    <phoneticPr fontId="2" type="noConversion"/>
  </si>
  <si>
    <t>Trellix</t>
  </si>
  <si>
    <t>Spamhaus</t>
  </si>
  <si>
    <t>AbuseCH</t>
    <phoneticPr fontId="2" type="noConversion"/>
  </si>
  <si>
    <t>미국국무부</t>
  </si>
  <si>
    <t>네덜란드재정정보조사국</t>
    <phoneticPr fontId="2" type="noConversion"/>
  </si>
  <si>
    <t>알바니아특별반부패기구</t>
    <phoneticPr fontId="2" type="noConversion"/>
  </si>
  <si>
    <t>알바니아국가수사국</t>
    <phoneticPr fontId="2" type="noConversion"/>
  </si>
  <si>
    <t>코소보검찰청</t>
    <phoneticPr fontId="2" type="noConversion"/>
  </si>
  <si>
    <t>코소보경찰</t>
  </si>
  <si>
    <t>아시아아프리카경찰</t>
    <phoneticPr fontId="2" type="noConversion"/>
  </si>
  <si>
    <t>몰타경찰</t>
  </si>
  <si>
    <t>몰타검찰청</t>
  </si>
  <si>
    <t>일본경찰</t>
  </si>
  <si>
    <t>India Today</t>
    <phoneticPr fontId="2" type="noConversion"/>
  </si>
  <si>
    <t>인도내무부</t>
  </si>
  <si>
    <t>인도사이버범죄조정센터</t>
    <phoneticPr fontId="2" type="noConversion"/>
  </si>
  <si>
    <t>국제협력기관</t>
  </si>
  <si>
    <t>말레이시아경찰</t>
  </si>
  <si>
    <t>잠비아마약단속위원회</t>
    <phoneticPr fontId="2" type="noConversion"/>
  </si>
  <si>
    <t>잠비아경찰</t>
  </si>
  <si>
    <t>CloudSEK</t>
    <phoneticPr fontId="2" type="noConversion"/>
  </si>
  <si>
    <t>인도은행</t>
  </si>
  <si>
    <t>인도경찰</t>
  </si>
  <si>
    <t>TGCSB</t>
    <phoneticPr fontId="2" type="noConversion"/>
  </si>
  <si>
    <t>ONSA</t>
    <phoneticPr fontId="2" type="noConversion"/>
  </si>
  <si>
    <t>NIMC</t>
    <phoneticPr fontId="2" type="noConversion"/>
  </si>
  <si>
    <t>ECOWAS</t>
    <phoneticPr fontId="2" type="noConversion"/>
  </si>
  <si>
    <t>UNODC</t>
    <phoneticPr fontId="2" type="noConversion"/>
  </si>
  <si>
    <t>민간보안기업</t>
  </si>
  <si>
    <t>산티아고검찰</t>
    <phoneticPr fontId="2" type="noConversion"/>
  </si>
  <si>
    <t>미국경찰</t>
    <phoneticPr fontId="2" type="noConversion"/>
  </si>
  <si>
    <t>SSA-OIG</t>
    <phoneticPr fontId="2" type="noConversion"/>
  </si>
  <si>
    <t>AFJOC</t>
    <phoneticPr fontId="2" type="noConversion"/>
  </si>
  <si>
    <t>Coinbase</t>
  </si>
  <si>
    <t>WEF's Cyber crime Atlas</t>
    <phoneticPr fontId="2" type="noConversion"/>
  </si>
  <si>
    <t>스리랑카경찰</t>
  </si>
  <si>
    <t>미국국세청범죄수사국</t>
    <phoneticPr fontId="2" type="noConversion"/>
  </si>
  <si>
    <t>유럽법집행기관</t>
  </si>
  <si>
    <t>국제인권단체</t>
  </si>
  <si>
    <t>ISOC</t>
    <phoneticPr fontId="2" type="noConversion"/>
  </si>
  <si>
    <t>독일주경찰</t>
    <phoneticPr fontId="2" type="noConversion"/>
  </si>
  <si>
    <t>네덜란드법무부</t>
    <phoneticPr fontId="2" type="noConversion"/>
  </si>
  <si>
    <t>파키스탄경찰</t>
  </si>
  <si>
    <t>남아프리카공화국경찰</t>
  </si>
  <si>
    <t>남아프리카공화국금융정보분석센터</t>
    <phoneticPr fontId="2" type="noConversion"/>
  </si>
  <si>
    <t>CrowdStrike</t>
  </si>
  <si>
    <t>ESET</t>
  </si>
  <si>
    <t>Proofpoint</t>
  </si>
  <si>
    <t>TeamCymru</t>
  </si>
  <si>
    <t>ZScaler</t>
  </si>
  <si>
    <t>Lumen</t>
  </si>
  <si>
    <t>Cloudflare</t>
  </si>
  <si>
    <t>Bitsight</t>
    <phoneticPr fontId="2" type="noConversion"/>
  </si>
  <si>
    <t>아나카팔리경찰</t>
  </si>
  <si>
    <t>안드라프라데시경찰</t>
  </si>
  <si>
    <t>핀란드국립수사국</t>
    <phoneticPr fontId="2" type="noConversion"/>
  </si>
  <si>
    <t>NC3</t>
    <phoneticPr fontId="2" type="noConversion"/>
  </si>
  <si>
    <t>Spamhaus</t>
    <phoneticPr fontId="2" type="noConversion"/>
  </si>
  <si>
    <t>네덜란드검찰</t>
    <phoneticPr fontId="2" type="noConversion"/>
  </si>
  <si>
    <t>Black Lotus Labs</t>
    <phoneticPr fontId="2" type="noConversion"/>
  </si>
  <si>
    <t>타이완경찰</t>
    <phoneticPr fontId="2" type="noConversion"/>
  </si>
  <si>
    <t>그리스경찰</t>
    <phoneticPr fontId="2" type="noConversion"/>
  </si>
  <si>
    <t>NCCIA</t>
    <phoneticPr fontId="2" type="noConversion"/>
  </si>
  <si>
    <t>나이지리아연방법원</t>
    <phoneticPr fontId="2" type="noConversion"/>
  </si>
  <si>
    <t>나이지리아이민국</t>
    <phoneticPr fontId="2" type="noConversion"/>
  </si>
  <si>
    <t>알바니아경찰</t>
    <phoneticPr fontId="2" type="noConversion"/>
  </si>
  <si>
    <t>Local Cybersecurity Units</t>
    <phoneticPr fontId="2" type="noConversion"/>
  </si>
  <si>
    <t>DOJ</t>
    <phoneticPr fontId="2" type="noConversion"/>
  </si>
  <si>
    <t>CICC</t>
    <phoneticPr fontId="2" type="noConversion"/>
  </si>
  <si>
    <t>NCT</t>
    <phoneticPr fontId="2" type="noConversion"/>
  </si>
  <si>
    <t>NCRP</t>
    <phoneticPr fontId="2" type="noConversion"/>
  </si>
  <si>
    <t>연도</t>
    <phoneticPr fontId="2" type="noConversion"/>
  </si>
  <si>
    <t>작전명</t>
    <phoneticPr fontId="2" type="noConversion"/>
  </si>
  <si>
    <t>참여기관(기본 한글, 저명한 기관만 영문)</t>
  </si>
  <si>
    <t>참여국가(한글)</t>
  </si>
  <si>
    <t>내용</t>
    <phoneticPr fontId="2" type="noConversion"/>
  </si>
  <si>
    <t>출처</t>
    <phoneticPr fontId="2" type="noConversion"/>
  </si>
  <si>
    <t>금융사기, 이메일계정해킹, 악성코드유포, 자금세탁</t>
    <phoneticPr fontId="2" type="noConversion"/>
  </si>
  <si>
    <t>Europol, Eurojust, 이탈리아 경찰(Polizia di Stato), 스페인 국가경찰, 폴란드 경찰, 영국 법집행기관</t>
    <phoneticPr fontId="2" type="noConversion"/>
  </si>
  <si>
    <t>이탈리아, 스페인, 폴란드, 영국, 벨기에, 조지아</t>
    <phoneticPr fontId="2" type="noConversion"/>
  </si>
  <si>
    <t>2015년 6월 국제 공조 수사로 이탈리아, 스페인, 폴란드, 영국, 벨기에, 조지아 등에서 이메일 계정 침입을 통한 금융 사기 조직 49명을 체포하고, 58곳을 압수수색하여 현금, 신용카드, 위조문서 등 범죄 수익을 압수했다.</t>
    <phoneticPr fontId="2" type="noConversion"/>
  </si>
  <si>
    <t>https://www.europol.europa.eu/media-press/newsroom/news/international-operation-dismantles-criminal-group-of-cyber-fraudsters</t>
    <phoneticPr fontId="2" type="noConversion"/>
  </si>
  <si>
    <t>자금세탁 공모, 무면허 자금 송금 사업 운영, 랜섬웨어 수익 세탁, 암호화폐 절도, 불법 금융정보 거래, 사이버범죄</t>
  </si>
  <si>
    <t>미국 법무부(DOJ), 미국 연방수사국(FBI), 네덜란드 재정정보조사국(FI-IS), 핀란드 국립수사국(NBI), 미국 재무부 OFAC</t>
    <phoneticPr fontId="2" type="noConversion"/>
  </si>
  <si>
    <t>미국, 네덜란드, 핀란드, 러시아(피의자 국적)</t>
    <phoneticPr fontId="2" type="noConversion"/>
  </si>
  <si>
    <t>미국 법무부와 국제 공조기관이 블렌더(Blender.io)와 신바드(Sinbad.io) 암호화폐 믹서를 운영하며 랜섬웨어 등 불법 수익을 세탁한 러시아인 3명을 기소하고, 서비스 인프라를 단속해 범죄 네트워크에 타격을 입혔다.</t>
    <phoneticPr fontId="2" type="noConversion"/>
  </si>
  <si>
    <t>https://cyberscoop.com/russians-crypto-mixers-doj-charges/</t>
  </si>
  <si>
    <t>랜섬웨어, 컴퓨터사기, 자금세탁</t>
  </si>
  <si>
    <t>Flashpoint(사이버 위협 인텔리전스 분석), FBI(피해 통계 및 대응)</t>
    <phoneticPr fontId="2" type="noConversion"/>
  </si>
  <si>
    <t>러시아, 미국</t>
    <phoneticPr fontId="2" type="noConversion"/>
  </si>
  <si>
    <t>러시아를 기반으로 한 랜섬웨어 범죄 네트워크가 조직적으로 운영되어 월 최대 7,500달러를 벌어들이고 있으며, 피해자들은 데이터 복구를 위해 몸값을 지불하지만 항상 복구가 보장되는 것은 아니다</t>
    <phoneticPr fontId="2" type="noConversion"/>
  </si>
  <si>
    <t>https://www.businessinsider.com/flashpoint-report-ransomware-2016-6</t>
    <phoneticPr fontId="2" type="noConversion"/>
  </si>
  <si>
    <t>조직적 컴퓨터사기, 신분도용, 불법 금융정보 거래, 사기, 불법 취업 알선, 불법데이터유출</t>
  </si>
  <si>
    <t>아나카팔리 경찰, 안드라프라데시 경찰, 현지 산업단지 경비</t>
    <phoneticPr fontId="2" type="noConversion"/>
  </si>
  <si>
    <t>인도, 미국, 영국, 오스트레일리아(피해 대상)</t>
    <phoneticPr fontId="2" type="noConversion"/>
  </si>
  <si>
    <t>안드라프라데시 아나카팔리 경찰이 미얀마·캄보디아식 조직적 사이버사기 콜센터를 단속해 100명 이상을 체포하고, 미국·영국·호주 등 외국인을 대상으로 한 대규모 사이버사기 네트워크를 적발했다.</t>
    <phoneticPr fontId="2" type="noConversion"/>
  </si>
  <si>
    <t>https://timesofindia.indiatimes.com/india/myanmar-style-cybercrime-operation-busted-near-andhra-sez-100-detained/articleshow/121324448.cms</t>
  </si>
  <si>
    <t>사이버범죄(인터넷 사기 등 포함)</t>
    <phoneticPr fontId="2" type="noConversion"/>
  </si>
  <si>
    <t>인터폴(INTERPOL), 영국 외교부(UK Foreign Office), 각국 경찰 및 수사기관</t>
    <phoneticPr fontId="2" type="noConversion"/>
  </si>
  <si>
    <t>아프리카 49개국(구체적 국가명 미상세)</t>
  </si>
  <si>
    <t>인터폴(INTERPOL)이 영국 지원으로 아프리카 49개국의 사이버범죄 대응 역량 강화를 위해 새로운 사이버범죄 운영 데스크를 설립하고, 정보 기반의 공동작전 및 연례 위협 평가를 지원하는 이니셔티브를 시작했다</t>
    <phoneticPr fontId="2" type="noConversion"/>
  </si>
  <si>
    <t>https://www.interpol.int/News-and-Events/News/2021/INTERPOL-launches-initiative-to-fight-cybercrime-in-Africa</t>
  </si>
  <si>
    <t>사이버 사기, 신분도용, 불법 금융거래, 계정 정보 유출, 피싱, 데이터 절도, 조직적 사이버범죄</t>
    <phoneticPr fontId="2" type="noConversion"/>
  </si>
  <si>
    <t>Europol, 독일 하노버 경찰(Polizeidirektion Hannover), Verden 검찰청(Staatsanwaltschaft Verden), 각국 법집행기관(독일, 오스트리아, 핀란드, 네덜란드, 노르웨이 등)</t>
    <phoneticPr fontId="2" type="noConversion"/>
  </si>
  <si>
    <t>독일, 오스트리아, 핀란드, 네덜란드, 노르웨이</t>
    <phoneticPr fontId="2" type="noConversion"/>
  </si>
  <si>
    <t>Europol과 독일 하노버 경찰이 주도하고 여러 유럽 국가가 협력한 작전에서 사이버 범죄 마켓플레이스와 연계된 가짜 온라인 쇼핑 사이트 네트워크를 해체하고, 50개 이상의 서버를 압수하며, 2명의 주요 용의자를 체포하고 200TB 이상의 디지털 증거를 확보해 대규모 온라인 사기 조직을 무력화했다.</t>
    <phoneticPr fontId="2" type="noConversion"/>
  </si>
  <si>
    <t>https://www.europol.europa.eu/media-press/newsroom/news/fraudulent-shopping-sites-tied-to-cybercrime-marketplace-taken-offline</t>
  </si>
  <si>
    <t>이메일계정해킹, 컴퓨터사기, 자금세탁, 비즈니스이메일사기(BEC), CEO사기</t>
  </si>
  <si>
    <t>INTERPOL, Nigerian Economic and Financial Crime Commission (EFCC)</t>
    <phoneticPr fontId="2" type="noConversion"/>
  </si>
  <si>
    <t>나이지리아, 말레이시아, 남아프리카공화국, 미국, 중국, 유럽(자금 세탁 관련)</t>
    <phoneticPr fontId="2" type="noConversion"/>
  </si>
  <si>
    <t>INTERPOL과 나이지리아 EFCC가 전 세계 중소기업 이메일 계정을 해킹해 6,000만 달러 이상을 탈취한 나이지리아인 마이크를 중심으로 한 국제 범죄 네트워크를 국제 공조 수사로 체포했다.</t>
    <phoneticPr fontId="2" type="noConversion"/>
  </si>
  <si>
    <t>https://news.sophos.com/en-us/2016/08/02/nigerian-scammer-arrested-for-60-million-email-fraud/</t>
    <phoneticPr fontId="2" type="noConversion"/>
  </si>
  <si>
    <t>컴퓨터오용, 해킹, 불법컴퓨터접근, 불법데이터유출</t>
    <phoneticPr fontId="2" type="noConversion"/>
  </si>
  <si>
    <t>웨일스 경찰, 국제 사이버범죄수사기관, National Crime Agency, Europol(기사 내 구체적 명시는 없으나, 국제 공조 언급)</t>
    <phoneticPr fontId="2" type="noConversion"/>
  </si>
  <si>
    <t>영국(웨일스), 국제(미국 등 기타 국가 언급, 구체적 명시 없음)</t>
    <phoneticPr fontId="2" type="noConversion"/>
  </si>
  <si>
    <t>웨일스의 10대가 국제 사이버범죄 네트워크와 연관되어 해킹 및 불법 컴퓨터 접근 혐의로 체포되어 기소되었으며, 이는 국제 공조 조사의 일부로 이루어졌다.</t>
    <phoneticPr fontId="2" type="noConversion"/>
  </si>
  <si>
    <t>https://www.walesonline.co.uk/news/wales-news/teenager-wales-charged-international-computer-11737455</t>
    <phoneticPr fontId="2" type="noConversion"/>
  </si>
  <si>
    <t>아동 학대 영상 및 사진 유포, 아동 성착취, 불법데이터유출</t>
  </si>
  <si>
    <t>몰타 경찰 사이버범죄팀, Europol, 유럽연합 회원국 경찰</t>
    <phoneticPr fontId="2" type="noConversion"/>
  </si>
  <si>
    <t>몰타, 유럽연합 회원국(모두)</t>
    <phoneticPr fontId="2" type="noConversion"/>
  </si>
  <si>
    <t>몰타 경찰 사이버범죄팀이 Europol과 유럽연합 회원국 경찰과 협력해, 피어투피어 네트워크를 통해 아동 학대 영상 및 사진을 유포하는 범죄자들을 단속하며, 해당 네트워크 이용자들에게 경고 메시지를 전송하는 작전을 수행했다.</t>
    <phoneticPr fontId="2" type="noConversion"/>
  </si>
  <si>
    <t>https://timesofmalta.com/article/malta-police-taking-part-in-european-cyber-crime-operation.641343</t>
  </si>
  <si>
    <t>해킹, 불법데이터유출, 신용카드사기, 불법금융정보거래</t>
    <phoneticPr fontId="2" type="noConversion"/>
  </si>
  <si>
    <t>런던 경찰, 영국 국립범죄청(NCA), 국제 법집행기관</t>
    <phoneticPr fontId="2" type="noConversion"/>
  </si>
  <si>
    <t>영국(런던), 국제(피해자 다수, 구체적 국가 명시 없음)</t>
    <phoneticPr fontId="2" type="noConversion"/>
  </si>
  <si>
    <t>런던 경찰이 국제 공조로 불법 신용카드 및 금융정보를 해킹해 유출·판매한 용의자 10명을 체포하고, 사이버범죄 네트워크에 타격을 입혔다.</t>
  </si>
  <si>
    <t>https://www.bbc.com/news/uk-41240643</t>
    <phoneticPr fontId="2" type="noConversion"/>
  </si>
  <si>
    <t>해킹, 악성코드유포, 랜섬웨어, DDoS공격, 스팸유포, 불법데이터유출, 컴퓨터사기, 피싱</t>
    <phoneticPr fontId="2" type="noConversion"/>
  </si>
  <si>
    <t>Interpol, Trend Micro, Kaspersky Lab, Cyber Defense Institute, Booz Allen Hamilton, British Telecom, Fortinet, Palo Alto Networks, 인도네시아, 말레이시아, 미얀마, 필리핀, 싱가포르, 태국, 베트남 등 각국 경찰 및 사이버수사기관, 중국(정보 제공)</t>
    <phoneticPr fontId="2" type="noConversion"/>
  </si>
  <si>
    <t>인도네시아, 말레이시아, 미얀마, 필리핀, 싱가포르, 태국, 베트남, 중국(정보 제공)</t>
    <phoneticPr fontId="2" type="noConversion"/>
  </si>
  <si>
    <t xml:space="preserve"> Interpol이 동남아시아 7개국(및 중국 정보 제공)의 경찰 및 민간 보안기업과 협력해, 9,000개 이상의 침해 서버와 수백 개의 웹사이트(정부포털 포함)에서 해킹, 악성코드, 랜섬웨어, DDoS, 스팸, 불법 데이터 유출 등 다양한 사이버범죄를 적발하고, 단속 결과를 발표했다.</t>
    <phoneticPr fontId="2" type="noConversion"/>
  </si>
  <si>
    <t>https://www.freemalaysiatoday.com/category/nation/2017/04/24/interpol-finds-9000-compromised-websites</t>
    <phoneticPr fontId="2" type="noConversion"/>
  </si>
  <si>
    <t>주요 보안기업(하우리랩스, 시만텍 등), FBI, 미국 정부, 기타 국제 보안기관</t>
    <phoneticPr fontId="2" type="noConversion"/>
  </si>
  <si>
    <t>미국, 영국, 중국, 러시아, 이스라엘, 남한 등(전 세계적 피해 및 조사)</t>
    <phoneticPr fontId="2" type="noConversion"/>
  </si>
  <si>
    <t>북한이 배후로 추정되는 WannaCry 랜섬웨어 공격이 전 세계 300,000대 이상의 컴퓨터를 감염시켰으며, 주요 보안기업과 국제기관이 이 공격의 배후와 경로를 조사하고 있다.</t>
    <phoneticPr fontId="2" type="noConversion"/>
  </si>
  <si>
    <t>https://time.com/4781809/ransomware-attack-north-korea-wannacry/</t>
    <phoneticPr fontId="2" type="noConversion"/>
  </si>
  <si>
    <t>컴퓨터사기, 불법온라인도박</t>
  </si>
  <si>
    <t>피지 경찰, 중국 경찰, 중국 대사관(수바)</t>
    <phoneticPr fontId="2" type="noConversion"/>
  </si>
  <si>
    <t>피지, 중국</t>
    <phoneticPr fontId="2" type="noConversion"/>
  </si>
  <si>
    <t>피지와 중국 당국이 공동으로 전화 및 온라인 사기 조직을 적발하여 77명의 중국 국적 용의자를 체포 및 송환하고, 사기와 관련된 장비를 압수하였다.</t>
    <phoneticPr fontId="2" type="noConversion"/>
  </si>
  <si>
    <t>https://www.arabnews.com/node/1141451/world</t>
    <phoneticPr fontId="2" type="noConversion"/>
  </si>
  <si>
    <t>금융기관해킹, 은행사기, 정보유출, 자금탈취</t>
    <phoneticPr fontId="2" type="noConversion"/>
  </si>
  <si>
    <t>Group-IB(사이버보안기업), 피해 금융기관, 국제 로펌, 금융 소프트웨어 공급업체</t>
    <phoneticPr fontId="2" type="noConversion"/>
  </si>
  <si>
    <t>미국, 영국, 러시아</t>
    <phoneticPr fontId="2" type="noConversion"/>
  </si>
  <si>
    <t>러시아 기반의 Money Taker 해킹 조직이 미국, 영국, 러시아의 금융기관과 국제 로펌, 금융 소프트웨어 공급업체를 표적으로 맞춤형 악성코드와 다양한 침투 도구를 사용해 은행 시스템을 해킹하고 자금을 탈취하였다.</t>
    <phoneticPr fontId="2" type="noConversion"/>
  </si>
  <si>
    <t>https://cyberscoop.com/money-taker-group-ib-banking-hack-russia/</t>
    <phoneticPr fontId="2" type="noConversion"/>
  </si>
  <si>
    <t>사이버침입, 허위정보유포, 국가이미지훼손</t>
    <phoneticPr fontId="2" type="noConversion"/>
  </si>
  <si>
    <t>카타르 내무부, 정부통신청(GCO), 미국 연방수사국(FBI), 영국 국가범죄수사위원회(National Commission for Combating Crime)</t>
    <phoneticPr fontId="2" type="noConversion"/>
  </si>
  <si>
    <t>카타르, 미국, 영국</t>
    <phoneticPr fontId="2" type="noConversion"/>
  </si>
  <si>
    <t>카타르 뉴스통신사(QNA)가 해킹을 당해 허위 뉴스가 유포되었으며, 카타르 내무부와 미국 FBI 등이 합동으로 조사하여 사이버침입 경로와 방법을 밝혀냈다.</t>
    <phoneticPr fontId="2" type="noConversion"/>
  </si>
  <si>
    <t>https://www.aljazeera.com/news/2017/6/7/qatar-reveals-preliminary-results-of-qna-hacking-probe</t>
    <phoneticPr fontId="2" type="noConversion"/>
  </si>
  <si>
    <t>사이버도박</t>
    <phoneticPr fontId="2" type="noConversion"/>
  </si>
  <si>
    <t>필리핀 국가수사국(NBI), 사이버범죄과, 디지털포렌식팀</t>
    <phoneticPr fontId="2" type="noConversion"/>
  </si>
  <si>
    <t>필리핀, 중국</t>
    <phoneticPr fontId="2" type="noConversion"/>
  </si>
  <si>
    <t>필리핀 국가수사국이 마닐라와 앵글스 시티에서 관광 비자로 입국한 중국인 15명을 불법 온라인 도박 운영 혐의로 체포하고, 도박 웹사이트 및 장비, 불법 접근장치 다수를 압수하였다.</t>
    <phoneticPr fontId="2" type="noConversion"/>
  </si>
  <si>
    <t>https://www.gmanetwork.com/news/topstories/metro/676254/15-chinese-nationals-arrested-for-illegal-online-gambling/story/</t>
    <phoneticPr fontId="2" type="noConversion"/>
  </si>
  <si>
    <t>금융사기, 부패</t>
    <phoneticPr fontId="2" type="noConversion"/>
  </si>
  <si>
    <t>EFCC(나이지리아 경제·금융범죄위원회), FBI(미국 연방수사국), EFCC 사이버범죄과</t>
    <phoneticPr fontId="2" type="noConversion"/>
  </si>
  <si>
    <t>나이지리아, 미국</t>
    <phoneticPr fontId="2" type="noConversion"/>
  </si>
  <si>
    <t>나이지리아 EFCC와 미국 FBI가 사이버범죄와 금융사기, 부패 등 국경 없는 범죄에 공동 대응하기 위해 공식적으로 협력 관계를 강화하고, 첨단 범죄 단속과 피해자 보호를 위해 정보 공유 및 조사 역량을 확대하였다.</t>
    <phoneticPr fontId="2" type="noConversion"/>
  </si>
  <si>
    <t>https://www.vanguardngr.com/2018/06/efcc-fbi-partner-fight-cybercrime/</t>
    <phoneticPr fontId="2" type="noConversion"/>
  </si>
  <si>
    <t>신용카드정보도난및유통, 자금세탁, 컴퓨터사기, 범죄조직운영</t>
    <phoneticPr fontId="2" type="noConversion"/>
  </si>
  <si>
    <t>영국 국가범죄수사국(National Crime Agency), FBI, 유럽 법집행기관</t>
    <phoneticPr fontId="2" type="noConversion"/>
  </si>
  <si>
    <t>영국, 미국, 유럽(독일, 프랑스 등)</t>
    <phoneticPr fontId="2" type="noConversion"/>
  </si>
  <si>
    <t>영국 국가범죄수사국과 FBI 등 국제 법집행기관이 협력하여 불법 신용카드 정보 도난 및 유통, 돈세탁, 사이버사기 등으로 수백만 달러의 피해를 발생시킨 범죄조직을 해체하고, 주요 인물 6명을 체포하였다.</t>
    <phoneticPr fontId="2" type="noConversion"/>
  </si>
  <si>
    <t>https://www.bbc.com/news/uk-43893420</t>
  </si>
  <si>
    <t>금융기관해킹, 악성코드유포, 신용카드및은행계좌정보도난, 사기, 자금세탁, 범죄조직운영</t>
    <phoneticPr fontId="2" type="noConversion"/>
  </si>
  <si>
    <t>스페인 국가경찰(Spanish National Police), Europol, FBI, 루마니아 경찰, 벨라루스 경찰, 대만(중화민국) 관련 기관, 민간 사이버보안 기업(카스퍼스키 등)</t>
    <phoneticPr fontId="2" type="noConversion"/>
  </si>
  <si>
    <t>스페인, 미국, 루마니아, 벨라루스, 대만(중화민국)</t>
    <phoneticPr fontId="2" type="noConversion"/>
  </si>
  <si>
    <t>스페인 국가경찰과 Europol 등 국제 법집행기관이 협력하여 Carbanak과 Cobalt 악성코드를 이용해 40여 개국 100개 이상의 금융기관에서 10억 유로 이상을 훔친 범죄조직의 핵심 인물을 체포하고, 해당 사이버범죄 네트워크를 무력화하였다.</t>
    <phoneticPr fontId="2" type="noConversion"/>
  </si>
  <si>
    <t>https://www.europol.europa.eu/media-press/newsroom/news/mastermind-behind-eur-1-billion-cyber-bank-robbery-arrested-in-spain</t>
    <phoneticPr fontId="2" type="noConversion"/>
  </si>
  <si>
    <t>신용카드·데빗카드·은행계좌 정보 도난 및 유통, 불법 하드웨어 유통, 악성코드유포, 컴퓨터사기, 범죄조직운영</t>
  </si>
  <si>
    <t>미국 법무부, 미국 국토안보부, 태국 경찰, 프랑스 법집행기관, 영국 법집행기관, 이탈리아 법집행기관, 호주 법집행기관, 코소보 법집행기관, 세르비아 법집행기관</t>
    <phoneticPr fontId="2" type="noConversion"/>
  </si>
  <si>
    <t>미국, 태국, 프랑스, 영국, 이탈리아, 호주, 코소보, 세르비아</t>
    <phoneticPr fontId="2" type="noConversion"/>
  </si>
  <si>
    <t>미국 법무부와 국제 법집행기관이 협력하여 Infraud Organization의 주요 인물을 태국 등 여러 국가에서 체포하고, 신용카드·데빗카드·은행계좌 정보 도난 및 유통 등으로 5억 3천만 달러 이상의 피해를 유발한 글로벌 사이버범죄 조직을 무력화하였다.</t>
    <phoneticPr fontId="2" type="noConversion"/>
  </si>
  <si>
    <t>https://www.voanews.com/a/thais-arrest-alleged-russian-cybercrime-market-operator/4246130.html</t>
  </si>
  <si>
    <t>사이버협박, 데이터유출, 불법침입, 신용카드정보도난, 범죄조직운영</t>
    <phoneticPr fontId="2" type="noConversion"/>
  </si>
  <si>
    <t>영국 런던 경찰(Metropolitan Police), 프랑스 국가경찰(High Tech Crime Unit), 태국 왕립경찰, Europol, J-CAT(유럽합동사이버범죄특별팀)</t>
    <phoneticPr fontId="2" type="noConversion"/>
  </si>
  <si>
    <t>영국, 프랑스, 태국</t>
    <phoneticPr fontId="2" type="noConversion"/>
  </si>
  <si>
    <t>영국, 프랑스, 태국 법집행기관과 Europol이 협력하여 영국 기업을 대상으로 대규모 고객 데이터 유출 및 사이버 협박을 시도한 해킹조직 Rex Mundi의 주요 인물을 체포하고, 8명의 용의자를 모두 검거하며 해당 범죄조직을 해체하였다.</t>
    <phoneticPr fontId="2" type="noConversion"/>
  </si>
  <si>
    <t>https://www.europol.europa.eu/media-press/newsroom/news/french-coder-who-helped-extort-british-company-arrested-in-thailand</t>
  </si>
  <si>
    <t>악성코드유포, 금융기관해킹, ATM네트워크공격, 신용카드정보도난, 금융사기, 자금세탁</t>
    <phoneticPr fontId="2" type="noConversion"/>
  </si>
  <si>
    <t>Europol, Europol Cybercrime Centre(EC3), Europol Joint Cybercrime Action Taskforce(J-CAT), 스페인 국립경찰, 미국 FBI, 루마니아 법집행기관, 몰도바 법집행기관, 벨라루스 법집행기관, 대만 법집행기관, 민간 사이버보안 기업</t>
    <phoneticPr fontId="2" type="noConversion"/>
  </si>
  <si>
    <t>스페인, 미국, 루마니아, 몰도바, 벨라루스, 대만, 40개국 이상(피해 국가)</t>
    <phoneticPr fontId="2" type="noConversion"/>
  </si>
  <si>
    <t>Europol과 J-CAT, 스페인 국립경찰 등 국제 법집행기관이 협력하여 40개국 이상의 금융기관을 대상으로 악성코드와 ATM 네트워크 공격을 감행한 국제 사이버범죄 조직을 단속하고, 주요 용의자를 체포하며 10억 유로 이상의 피해를 유발한 범죄 네트워크를 해체하였다.</t>
    <phoneticPr fontId="2" type="noConversion"/>
  </si>
  <si>
    <t>https://www.thirdway.org/report/countering-the-cyber-enforcement-gap-strengthening-global-capacity-on-cybercrime</t>
  </si>
  <si>
    <t>악성코드(GozNym) 유포, 피싱, 온라인 뱅킹 자격증명 도용, 은행계좌 불법 접근, 자금 절도, 자금세탁</t>
  </si>
  <si>
    <t>Europol, Eurojust, 미국 서부 펜실베이니아 연방검찰, FBI, 독일 뤼네부르크 경찰, 불가리아 조직범죄수사국, 조지아 내무부 및 검찰, 우크라이나 국가경찰 및 검찰, 몰도바 경찰 및 검찰</t>
    <phoneticPr fontId="2" type="noConversion"/>
  </si>
  <si>
    <t>미국, 불가리아, 독일, 조지아, 몰도바, 우크라이나</t>
    <phoneticPr fontId="2" type="noConversion"/>
  </si>
  <si>
    <t>Europol, Eurojust와 6개국 법집행기관이 협력하여 GozNym 악성코드를 활용해 41,000명 이상의 피해자로부터 1억 달러를 탈취하려 한 국제 사이버범죄 네트워크를 해체하고 주요 인물을 체포하였다.</t>
    <phoneticPr fontId="2" type="noConversion"/>
  </si>
  <si>
    <t>https://www.eurojust.europa.eu/news/goznym-malware-cybercriminal-network-dismantled-international-operation</t>
  </si>
  <si>
    <t>스피어 피싱, 악성코드유포, 계정 침해, 네트워크 보안 침해, 민감 정보 탈취</t>
  </si>
  <si>
    <t>Microsoft Digital Crimes Unit(DCU), Microsoft Threat Intelligence Center(MSTIC), 미국 동부버지니아 연방지방법원</t>
    <phoneticPr fontId="2" type="noConversion"/>
  </si>
  <si>
    <t>미국, 일본, 한국(피해 국가), 북한(공격자 추정 소재지)</t>
    <phoneticPr fontId="2" type="noConversion"/>
  </si>
  <si>
    <t>Microsoft는 미국 법원 명령을 받아 북한 소재로 추정되는 Thallium 해킹 조직이 사용하던 50개 도메인을 차단·압류함으로써, 미국·일본·한국 등지의 정부, 싱크탱크, 대학, 인권단체, 핵확산 관련 인사 등을 표적으로 한 스피어 피싱 및 악성코드 공격을 차단하였다.</t>
    <phoneticPr fontId="2" type="noConversion"/>
  </si>
  <si>
    <t>https://blogs.microsoft.com/on-the-issues/2019/12/30/microsoft-court-action-against-nation-state-cybercrime/</t>
  </si>
  <si>
    <t>불법 온라인 도박, 컴퓨터사기, 투자 사기, 불법 취업, 불법 체류, 비자 위반, 자금세탁</t>
  </si>
  <si>
    <t>Philippines Bureau of Immigration, 현지 경찰, 중국 대사관</t>
    <phoneticPr fontId="2" type="noConversion"/>
  </si>
  <si>
    <t>필리핀 이민국과 현지 경찰이 중국 대사관의 정보 제공을 받아 일주일 만에 600명 이상의 중국인을 체포하였으며, 이들은 불법 온라인 도박, 투자 사기 등 사이버범죄와 불법 취업, 체류 혐의로 추방 대상이 되었다</t>
    <phoneticPr fontId="2" type="noConversion"/>
  </si>
  <si>
    <t>https://www.scmp.com/news/asia/southeast-asia/article/3027741/more-320-chinese-arrested-philippines-illegal-online</t>
  </si>
  <si>
    <t>자금세탁, 불법 자금 이체, 신분 도용, 피싱, 해킹, 사이버 사기</t>
    <phoneticPr fontId="2" type="noConversion"/>
  </si>
  <si>
    <t>라트비아 경찰(State Police), FBI, 미국 법무부(Department of Justice), Europol</t>
    <phoneticPr fontId="2" type="noConversion"/>
  </si>
  <si>
    <t>라트비아, 미국</t>
    <phoneticPr fontId="2" type="noConversion"/>
  </si>
  <si>
    <t>라트비아 경찰이 FBI 및 미국 법무부와 협력해, 미국 내 사이버범죄로 인한 불법 자금을 라트비아 은행계좌로 세탁한 범죄 네트워크를 해체하고, 주요 멤버를 체포하며 국제 공조의 중요성을 입증하였다.</t>
    <phoneticPr fontId="2" type="noConversion"/>
  </si>
  <si>
    <t>https://eng.lsm.lv/article/society/crime/latvian-police-played-leading-role-in-us-cybercrime-crackdown.a378200/</t>
  </si>
  <si>
    <t>사이버 괴롭힘, 협박, 허위 계정 운영, 명예훼손, 사기, 신분 도용, 사이버 범죄(블랙메일, 허위 정보 유포 등)</t>
    <phoneticPr fontId="2" type="noConversion"/>
  </si>
  <si>
    <t>파키스탄 연방수사국(FIA), 트위터, 런던 메트로폴리탄 경찰, 두바이 경찰</t>
    <phoneticPr fontId="2" type="noConversion"/>
  </si>
  <si>
    <t>파키스탄, 영국, 미국, 아랍에미리트(두바이)</t>
    <phoneticPr fontId="2" type="noConversion"/>
  </si>
  <si>
    <t>파키스탄 연방수사국(FIA)이 트위터, 런던 및 두바이 경찰과 협력해 미국인 조지 기르기스를 중심으로 한 국제 네트워크가 운영한 허위 계정을 적발하고, 카라치의 세 가족을 대상으로 한 사이버 괴롭힘, 협박, 명예훼손 등 범죄 행위를 단속하였다.</t>
    <phoneticPr fontId="2" type="noConversion"/>
  </si>
  <si>
    <t>https://dailytimes.com.pk/676333/ae7-architect-george-girgis-behind-fake-accounts-cybercrime-network/#google_vignette</t>
  </si>
  <si>
    <t>(가칭)Operation DoubleVPN</t>
  </si>
  <si>
    <t>사이버범죄(랜섬웨어, 피싱, 신분도용, 불법 자금 유통 등), 불법 VPN 서비스 이용</t>
    <phoneticPr fontId="2" type="noConversion"/>
  </si>
  <si>
    <t>네덜란드 국가경찰, 유로폴(Europol), 유로저스트(Eurojust), 미국 연방수사국(FBI), 캐나다, 스웨덴, 독일, 스위스, 불가리아, 영국, 이탈리아 경찰 및 수사기관</t>
    <phoneticPr fontId="2" type="noConversion"/>
  </si>
  <si>
    <t>네덜란드, 미국, 캐나다, 스웨덴, 독일, 스위스, 불가리아, 영국, 이탈리아</t>
    <phoneticPr fontId="2" type="noConversion"/>
  </si>
  <si>
    <t>네덜란드 국가경찰이 주도하고 유로폴·유로저스트, 미국·캐나다·스웨덴·독일·스위스·불가리아·영국·이탈리아 등 각국 경찰이 협력하여, 랜섬웨어 등 사이버범죄에 이용된 DoubleVPN 서비스의 서버와 도메인을 압수·차단하고, 범죄자 신원 추적을 위한 정보를 확보했다</t>
    <phoneticPr fontId="2" type="noConversion"/>
  </si>
  <si>
    <t>https://www.welivesecurity.com/2021/06/30/global-police-vpn-service-cybercriminals/</t>
  </si>
  <si>
    <t>사이버범죄, 랜섬웨어, Trickbot 멀웨어 유포, 신용카드 정보 유출 등</t>
    <phoneticPr fontId="2" type="noConversion"/>
  </si>
  <si>
    <t>미국 법무부, FBI, 국제 수사기관</t>
    <phoneticPr fontId="2" type="noConversion"/>
  </si>
  <si>
    <t>미국, 러시아(용의자 국적)</t>
    <phoneticPr fontId="2" type="noConversion"/>
  </si>
  <si>
    <t>러시아 출신의 55세 여성 알라 위테(Alla Witte)가 미국 법무부에 의해 Trickbot 사이버범죄 조직의 핵심 멤버로 기소되어, 랜섬웨어 및 멀웨어 유포, 신용카드 정보 유출 등 다양한 사이버범죄에 연루된 사실이 밝혀졌다</t>
    <phoneticPr fontId="2" type="noConversion"/>
  </si>
  <si>
    <t>https://www.bloomberg.com/news/articles/2021-06-09/hacker-known-as-max-is-55-year-old-woman-from-russia-u-s-says</t>
  </si>
  <si>
    <t>사이버범죄, 비즈니스 이메일 위장 사기(BEC), 투자사기, 실업보험 사기, 온라인 연애사기, 자금세탁</t>
    <phoneticPr fontId="2" type="noConversion"/>
  </si>
  <si>
    <t>미국 연방수사국(FBI), 텍사스 주 경찰, 미국 법무부</t>
    <phoneticPr fontId="2" type="noConversion"/>
  </si>
  <si>
    <t>미국, 나이지리아(범죄 조직 본부)</t>
    <phoneticPr fontId="2" type="noConversion"/>
  </si>
  <si>
    <t>미국 연방수사국(FBI)이 나이지리아 기반 범죄조직 ‘Black Axe’ 소속 33명을 체포해, 2017년부터 비즈니스 이메일 위장 사기(BEC), 투자사기, 실업보험 사기, 온라인 연애사기 등으로 1억 7천만 원 이상(미화 1,700만 달러)을 절취한 사실을 밝혔다.</t>
    <phoneticPr fontId="2" type="noConversion"/>
  </si>
  <si>
    <t>https://therecord.media/us-arrests-33-bec-scammers-linked-to-nigerian-crime-syndicate</t>
  </si>
  <si>
    <t>와이어 사기(wire fraud), 접근장치 사기(access device fraud), 중대한 신분도용(aggravated identity theft), 불법 접근장치 유통, 불법 접근장치 보유, 불법 접근장치 권유 등</t>
    <phoneticPr fontId="2" type="noConversion"/>
  </si>
  <si>
    <t>미국 법무부(DOJ), FBI, 동부 텍사스 연방검찰(EDTX), 라트비아 국가경찰(State Police of Latvia)</t>
    <phoneticPr fontId="2" type="noConversion"/>
  </si>
  <si>
    <t>미국, 라트비아</t>
    <phoneticPr fontId="2" type="noConversion"/>
  </si>
  <si>
    <t>러시아인 이고르 데흐티아르추크는 2018년부터 신용카드 정보, 온라인 계정 로그인 등 도용 데이터를 판매하는 사이버범죄 마켓플레이스 A를 운영한 혐의로 미국 법무부와 FBI에 의해 기소되어 FBI 사이버 최우수 수배자 명단에 올랐으며, 동부 텍사스 연방대배심에서 체포 영장이 발부되었다.</t>
    <phoneticPr fontId="2" type="noConversion"/>
  </si>
  <si>
    <t>https://cyberscoop.com/igor-dekhtyarchuk-marketplace-a-indictment-doj-fbi/</t>
  </si>
  <si>
    <t>미국 정부 제재 위반, 사이버범죄(러시아 군사정보기관 주도), 불법 자금 세탁, 불법 이득 취득</t>
    <phoneticPr fontId="2" type="noConversion"/>
  </si>
  <si>
    <t>미국 법무부(DOJ), FBI, 미국 재무부, 유럽 각국 수사기관(협력)</t>
    <phoneticPr fontId="2" type="noConversion"/>
  </si>
  <si>
    <t>미국, 유럽(협력기관 소재 국가)</t>
    <phoneticPr fontId="2" type="noConversion"/>
  </si>
  <si>
    <t>미국 법무부와 FBI가 러시아의 크렘린과 연계된 올리가르흐 콘스탄틴 말로페예프를 미국 제재 위반 혐의로 기소하고, 러시아 군사정보기관이 주도한 사이버범죄 조직을 해체하는 등 러시아의 불법 자산 및 사이버범죄에 대한 국제적 대응을 강화했다.</t>
    <phoneticPr fontId="2" type="noConversion"/>
  </si>
  <si>
    <t>https://www.pressherald.com/2022/04/06/u-s-charges-russian-oligarch-dismantles-cybercrime-operation/</t>
  </si>
  <si>
    <t>사이버범죄, 컴퓨터 관련 사기 음모, 금융사기 음모, 자금세탁 음모, 중대한 신분도용, 불법 데이터 도용</t>
    <phoneticPr fontId="2" type="noConversion"/>
  </si>
  <si>
    <t>미국 법무부(DOJ), FBI, 네덜란드 경찰, 이탈리아 경찰</t>
    <phoneticPr fontId="2" type="noConversion"/>
  </si>
  <si>
    <t>미국, 네덜란드, 이탈리아</t>
    <phoneticPr fontId="2" type="noConversion"/>
  </si>
  <si>
    <t>미국 법무부와 FBI가 네덜란드 및 이탈리아 경찰과 협력해 ‘Raccoon Infostealer’ 악성코드 운영을 주도한 우크라이나인 마크 솔로프스키를 체포하고, 전 세계 수백만 대의 컴퓨터를 감염시켜 5천만 건 이상의 개인정보를 탈취한 국제 사이버범죄 조직의 디지털 인프라를 해체했다.</t>
    <phoneticPr fontId="2" type="noConversion"/>
  </si>
  <si>
    <t>https://www.scworld.com/brief/cybercriminals-increasingly-using-caramel-credit-card-theft-service</t>
  </si>
  <si>
    <t>사이버범죄, 신분사칭(미국 세무서, 사회보장국, 마약단속국 등 공무원 사칭), 사기(cheating), 갈취(extortion), 공모(criminal conspiracy), 신분도용(identity theft), 위장(impersonation)</t>
    <phoneticPr fontId="2" type="noConversion"/>
  </si>
  <si>
    <t>델리 경찰(Intelligence Fusion &amp; Strategic Operations, IFSO), FBI, 인터폴</t>
    <phoneticPr fontId="2" type="noConversion"/>
  </si>
  <si>
    <t>인도, 미국, 우간다</t>
    <phoneticPr fontId="2" type="noConversion"/>
  </si>
  <si>
    <t xml:space="preserve">델리 경찰이 FBI와 인터폴과 협력해 인도, 미국, 우간다에 걸친 국제 사이버범죄 조직을 적발했다.
범죄자들은 미국 세무서(IRS), 사회보장국, 마약단속국 등 공무원을 사칭해 콜센터를 운영하며 수백만 달러 규모의 사기와 갈취, 신분도용을 저질렀다.
주요 용의자(파르트 아마르카 등)는 우간다와 인도에서 범죄 활동을 주도했으며, 인도 내 여러 지역에서 체포되었다.
FBI는 50명 이상을 조사했으며, 2,000만 달러 이상의 사기 증거를 확보했다.
체포된 4명은 인도 형법 및 정보기술법 위반 혐의로 기소되었다.
</t>
    <phoneticPr fontId="2" type="noConversion"/>
  </si>
  <si>
    <t>https://theprint.in/india/delhi-police-busts-international-cyber-crime-syndicate-in-operation-with-fbi-interpol/1631464/</t>
  </si>
  <si>
    <t>랜섬웨어, 데이터 암호화 및 갈취, 사이버범죄, 불법 금융거래, 시스템 침입, 조직적 범죄</t>
    <phoneticPr fontId="2" type="noConversion"/>
  </si>
  <si>
    <t>FBI, 미국 법무부(DOJ), 유로폴(Europol), 독일 경찰, 네덜란드 경찰, 영국 국가범죄수사국(NCA), 미국 비밀경찰(US Secret Service), 캐나다, 프랑스, 루마니아, 리투아니아, 스웨덴, 노르웨이, 포르투갈, 스페인, 아일랜드 등</t>
    <phoneticPr fontId="2" type="noConversion"/>
  </si>
  <si>
    <t>미국, 독일, 네덜란드, 영국, 캐나다, 프랑스, 루마니아, 리투아니아, 스웨덴, 노르웨이, 포르투갈, 스페인, 아일랜드 등</t>
    <phoneticPr fontId="2" type="noConversion"/>
  </si>
  <si>
    <t>미국 FBI와 유로폴, 독일 및 네덜란드 등 13개국 법집행기관이 협력해 2022년 7월부터 2023년 1월까지 Hive 랜섬웨어 그룹의 서버와 인프라를 침투·해체하고, 피해자에게 복호화 키를 제공하여 1억 달러 이상의 랜섬웨어 피해를 방지하는 등 대규모 사이버범죄 네트워크를 무력화했다.</t>
    <phoneticPr fontId="2" type="noConversion"/>
  </si>
  <si>
    <t>https://www.europol.europa.eu/media-press/newsroom/news/cybercriminals-stung-hive-infrastructure-shut-down</t>
  </si>
  <si>
    <t>랜섬웨어, 갈취, 신분도용, 데이터 절도, 불법 금융거래, 사이버범죄, 악성코드유포, 피싱, 협박, 시스템 침입, 조직적 범죄</t>
  </si>
  <si>
    <t>FBI, 유로폴(Europol), 스페인 경찰, 미국 법무부(DOJ), 각국 경찰 및 수사기관</t>
    <phoneticPr fontId="2" type="noConversion"/>
  </si>
  <si>
    <t>미국, 스페인, 우크라이나, 독일, 이탈리아, 아르헨티나, 칠레, 일본 등</t>
    <phoneticPr fontId="2" type="noConversion"/>
  </si>
  <si>
    <t>2023년 12월, FBI와 유로폴 등 국제 법집행기관이 BlackCat/ALPHV, LockerGoga, MegaCortex, Hive, Dharma 등 주요 랜섬웨어 인프라를 무력화하고, 스페인에서 Kelvin Security 해킹조직 주동자 체포 등 다양한 사이버범죄 대응 성과를 거두었으며, 신분도용 및 갈취 등 새로운 사이버 위협이 지속되고 있다.</t>
    <phoneticPr fontId="2" type="noConversion"/>
  </si>
  <si>
    <t>https://www.sentinelone.com/blog/december-2023-cybercrime-update-extortion-trends-identity-focused-attacks-counter-operations/</t>
  </si>
  <si>
    <t>사이버범죄, 악성코드 개발, 피싱, 사회적 조작(소셜 엔지니어링), 허위정보(디스인포메이션), 선거 개입, 가짜 계정 생성, 불법 데이터 수집</t>
    <phoneticPr fontId="2" type="noConversion"/>
  </si>
  <si>
    <t>OpenAI, Meta(협조), 각국 사이버보안 기관(특정 기관 명시되지 않음)</t>
    <phoneticPr fontId="2" type="noConversion"/>
  </si>
  <si>
    <t>미국, 이스라엘, 중국, 이란, 인도, 르완다, 유럽연합 등</t>
    <phoneticPr fontId="2" type="noConversion"/>
  </si>
  <si>
    <t>OpenAI가 2024년 한 해 동안 전 세계 20개 이상의 악성 네트워크와 캠페인을 차단하여, 악성코드 개발, 피싱, 허위정보 유포, 선거 개입 등 다양한 사이버범죄와 사회적 조작 시도를 무력화하고, AI 기술의 오남용을 방지했다.</t>
    <phoneticPr fontId="2" type="noConversion"/>
  </si>
  <si>
    <t>https://thehackernews.com/2024/10/openai-blocks-20-global-malicious.html</t>
  </si>
  <si>
    <t>온라인 범죄 시장 운영, 도용 신원 거래, 불법 계정 접근권 판매, 사기, 랜섬웨어 공격, 조직적 사이버범죄</t>
    <phoneticPr fontId="2" type="noConversion"/>
  </si>
  <si>
    <t>캐나다 왕립기마경찰(NC3), FBI, 28개 캐나다 법집행기관, 각국 법집행기관(18개국)</t>
    <phoneticPr fontId="2" type="noConversion"/>
  </si>
  <si>
    <t>캐나다, 미국, 영국, 프랑스, 독일, 네덜란드, 스웨덴, 오스트레일리아, 뉴질랜드, 스위스, 폴란드, 체코, 덴마크, 노르웨이, 핀란드, 포르투갈, 루마니아, 에스토니아 등</t>
    <phoneticPr fontId="2" type="noConversion"/>
  </si>
  <si>
    <t>FBI와 캐나다 왕립기마경찰(NC3)이 주도하고 18개국 법집행기관이 협력한 작전에서 Genesis Market이라는 대규모 온라인 범죄 시장의 인프라와 웹사이트를 해체하고, 150만 개 이상의 봇과 200만 개 이상의 신원 정보를 압수하며, 전 세계적으로 수많은 체포와 경찰 조치를 통해 조직적 사이버범죄에 중대한 타격을 입혔다.</t>
    <phoneticPr fontId="2" type="noConversion"/>
  </si>
  <si>
    <t>https://rcmp.ca/en/gazette/rcmp-specialized-unit-combats-cybercrime-through-teamwork</t>
  </si>
  <si>
    <t>자금세탁, 해킹 및 랜섬웨어 등 사이버범죄 자금 유통, 불법 금융거래, 신분도용, 카드 정보 유출(카딩), 불법 암호화폐 거래</t>
    <phoneticPr fontId="2" type="noConversion"/>
  </si>
  <si>
    <t>미국 재무부(OFAC, FinCEN), 미국 법무부(DOJ), 미국 국무부, 미국 비밀경찰(US Secret Service), 네덜란드 경찰, 네덜란드 재정정보조사서비스(FIOD)</t>
    <phoneticPr fontId="2" type="noConversion"/>
  </si>
  <si>
    <t>미국, 네덜란드</t>
    <phoneticPr fontId="2" type="noConversion"/>
  </si>
  <si>
    <t>미국과 네덜란드 법집행기관이 공동으로 러시아 암호화폐 거래소(PM2BTC, Cryptex, UAPS 등)와 관련 인물(Sergey Sergeevich Ivanov 등)을 제재하고 인프라를 차단함으로써, 해킹·랜섬웨어 등 사이버범죄 자금 세탁 및 불법 금융거래 네트워크에 중대한 타격을 입혔다.</t>
    <phoneticPr fontId="2" type="noConversion"/>
  </si>
  <si>
    <t>https://therecord.media/cryptocurrency-exchanges-seizures-ivanov-sanctions-us-netherlands</t>
  </si>
  <si>
    <t>신분도용, 불법 금융거래, 자금세탁, 불법 소프트웨어 및 데이터 유통, 불법 접근장치 판매, 해킹 도구 판매</t>
    <phoneticPr fontId="2" type="noConversion"/>
  </si>
  <si>
    <t>미국 연방수사국(FBI) 피츠버그 사무소, 알바니아 특별반부패기구(SPAK), 알바니아 국가수사국(BKH), 코소보 특별검찰청, 코소보 경찰, 말레이시아 왕립경찰</t>
    <phoneticPr fontId="2" type="noConversion"/>
  </si>
  <si>
    <t>미국, 알바니아, 코소보, 말레이시아</t>
    <phoneticPr fontId="2" type="noConversion"/>
  </si>
  <si>
    <t>미국, 알바니아, 코소보, 말레이시아 법집행기관이 공동으로 불법 신원정보 및 해킹 도구를 거래하는 Rydox 사이버범죄 마켓플레이스를 해체하고, 주요 관리자 3명을 체포하며, 7,600건 이상의 불법 거래와 32만 건 이상의 범죄 도구 유통에 중대한 타격을 입혔다.</t>
    <phoneticPr fontId="2" type="noConversion"/>
  </si>
  <si>
    <t>https://cyberscoop.com/rydox-cybercriminal-marketplace-seized-doj-albania-kosovo/</t>
  </si>
  <si>
    <t>컴퓨터사기, 인신매매, 연애 사기(로맨스 스캠), 피싱, 불법 체류, 강제 노동, 조직범죄</t>
  </si>
  <si>
    <t>각국 경찰(특히 아시아 및 아프리카), 인터폴, 비정부기구(NGO), 인터넷 서비스 제공자(ISP)</t>
    <phoneticPr fontId="2" type="noConversion"/>
  </si>
  <si>
    <t>필리핀, 캄보디아, 라오스, 미얀마, 싱가포르, 타이, 베트남, 케냐, 우간다, 나이지리아 등</t>
    <phoneticPr fontId="2" type="noConversion"/>
  </si>
  <si>
    <t>아시아와 아프리카의 여러 국가에서 조직적 범죄 네트워크가 인신매매 피해자를 동원해 연애 사기, 피싱, 사이버사기 등 다양한 범죄를 저지르고 있으며, 각국 경찰과 인터폴, NGO 등이 협력해 관련 범죄 단속과 피해자 구제에 나서고 있다.</t>
    <phoneticPr fontId="2" type="noConversion"/>
  </si>
  <si>
    <t>https://www.nytimes.com/2024/09/10/business/scammers-trafficking-cybercrime.html</t>
  </si>
  <si>
    <t>불법 원격접속 트로이목마(RAT) 판매 및 유통, 불법 전자감청장치 판매, 컴퓨터 무단 침입 음모, 보호된 컴퓨터 권한 없이 손상, 사이버범죄 조직 가담</t>
    <phoneticPr fontId="2" type="noConversion"/>
  </si>
  <si>
    <t>몰타 경찰, 몰타 검찰청, 미국 법무부(DOJ), 미국 연방수사국(FBI), 호주 연방경찰(AFP), 기타 국제 협력기관</t>
    <phoneticPr fontId="2" type="noConversion"/>
  </si>
  <si>
    <t>몰타, 미국, 호주</t>
    <phoneticPr fontId="2" type="noConversion"/>
  </si>
  <si>
    <t>몰타, 미국, 호주 법집행기관이 협력해 Warzone RAT 등 불법 원격접속 트로이목마를 판매·유통한 사이버범죄자 Daniel Meli를 체포하고, 범죄 네트워크 인프라를 해체하며, 전 세계적으로 컴퓨터 무단 침입 및 정보유출 범죄에 중대한 타격을 입혔다.</t>
    <phoneticPr fontId="2" type="noConversion"/>
  </si>
  <si>
    <t>https://www.theguardian.com/australia-news/2024/feb/13/daniel-meli-arrest-malta-cybercrime-australia-trojan-software</t>
  </si>
  <si>
    <t>신분도용, 아동 성착취, 금융사기, 불법 금융거래, 팬데믹 구제금융 사기, 컴퓨터 사기 및 사기 음모, 자금세탁 음모</t>
    <phoneticPr fontId="2" type="noConversion"/>
  </si>
  <si>
    <t>미국 법무부(DOJ), 미국 연방수사국(FBI), 싱가포르 경찰, 태국 경찰, 기타 국제 법집행기관</t>
    <phoneticPr fontId="2" type="noConversion"/>
  </si>
  <si>
    <t>미국, 싱가포르, 태국 등</t>
    <phoneticPr fontId="2" type="noConversion"/>
  </si>
  <si>
    <t>미국, 싱가포르, 태국 등 국제 공조 하에 911 S5 봇넷 관리자 윤허 왕을 체포하고, 19백만 대 이상의 감염된 컴퓨터를 통해 신분도용, 아동 성착취, 금융사기 등 다양한 범죄에 활용된 세계 최대 규모의 봇넷 네트워크를 해체했다.</t>
    <phoneticPr fontId="2" type="noConversion"/>
  </si>
  <si>
    <t>https://www.business-standard.com/world-news/man-suspected-of-operating-world-s-largest-ever-cybercrime-botnet-held-124053000064_1.html</t>
  </si>
  <si>
    <t>신용카드 정보 절도, 신분도용, 불법 금융거래, 불법 접근장치 판매, 금융사기, 조직범죄, 랜섬웨어 등 사이버범죄</t>
    <phoneticPr fontId="2" type="noConversion"/>
  </si>
  <si>
    <t>미국 법무부, 미국 연방수사국(FBI), 영국 경찰, 말레이시아 경찰, 국제 협력기관</t>
    <phoneticPr fontId="2" type="noConversion"/>
  </si>
  <si>
    <t>미국, 영국, 말레이시아, 아프가니스탄, 파키스탄(용의자 국적 포함)</t>
    <phoneticPr fontId="2" type="noConversion"/>
  </si>
  <si>
    <t>미국 법무부와 FBI가 영국, 말레이시아 등 국제 협력기관과 함께 PopeyeTools이라는 대형 사이버범죄 마켓플레이스를 적발해 도메인과 암호화폐를 압수하고, 파키스탄과 아프가니스탄 출신 운영자 3명을 기소하며, 신용카드 정보 절도 및 불법 금융거래 등 전 세계적으로 피해를 끼친 범죄 네트워크를 해체했다.</t>
    <phoneticPr fontId="2" type="noConversion"/>
  </si>
  <si>
    <t>https://thecyberexpress.com/justice-department-shuts-popeyetools-website/</t>
  </si>
  <si>
    <t>컴퓨터 관련 허위표시, 신분도용, 불법 네트워크 운영, 인터넷 사기, 온라인 사기, 자금세탁, 조직범죄</t>
    <phoneticPr fontId="2" type="noConversion"/>
  </si>
  <si>
    <t>잠비아 마약단속위원회(DEC), 잠비아 경찰, 이민국, 반테러리즘 부서</t>
    <phoneticPr fontId="2" type="noConversion"/>
  </si>
  <si>
    <t>잠비아, 중국, 카메룬, 싱가포르, 페루, 아랍에미리트, 아프리카 다수국(피해자 및 용의자 국적 포함)</t>
    <phoneticPr fontId="2" type="noConversion"/>
  </si>
  <si>
    <t>잠비아 마약단속위원회(DEC)와 경찰 등이 루사카의 Golden Top Support Services를 급습해 77명(중국인 22명 포함)을 체포하고, 1만 3천 장 이상의 SIM 카드와 무기, 장비를 압수하며, 전 세계 피해자를 노린 대규모 인터넷 사기 및 자금세탁 조직을 해체했다.</t>
    <phoneticPr fontId="2" type="noConversion"/>
  </si>
  <si>
    <t>https://therecord.media/zambia-guilty-pleas-chinese-nationals-scam-call-center</t>
  </si>
  <si>
    <t>랜섬웨어, 악성 광고, 악성코드유포, 신분도용, 자금세탁</t>
  </si>
  <si>
    <t>미국 법무부, 미국 비밀경호국(USSS), FBI, 영국 국가범죄수사국(NCA), 스페인 경찰</t>
    <phoneticPr fontId="2" type="noConversion"/>
  </si>
  <si>
    <t>영국, 미국, 스페인</t>
    <phoneticPr fontId="2" type="noConversion"/>
  </si>
  <si>
    <t>영국, 미국, 스페인 등 국제 공조로 “J.P. Morgan”으로 알려진 랜섬웨어 조직의 수장 막심 실니카우(Maksim Silnikau)와 동조자들을 체포·송환하여, 2011년부터 수천만 달러를 갈취한 대규모 랜섬웨어 및 악성코드 네트워크를 해체했다.</t>
    <phoneticPr fontId="2" type="noConversion"/>
  </si>
  <si>
    <t>https://www.occrp.org/en/news/ransomware-kingpin-extradited-to-us-faces-decades-in-prison</t>
    <phoneticPr fontId="2" type="noConversion"/>
  </si>
  <si>
    <t>피싱, 신분도용(경찰/은행 직원 사칭), 비싱(vishing), 온라인·오프라인 금융사기, 불법 금융거래, 조직범죄</t>
    <phoneticPr fontId="2" type="noConversion"/>
  </si>
  <si>
    <t>벨기에 경찰, 네덜란드 경찰, 유로폴, 유로저스트</t>
    <phoneticPr fontId="2" type="noConversion"/>
  </si>
  <si>
    <t>벨기에, 네덜란드, 유럽 10개국 이상(피해자 국적 포함)</t>
    <phoneticPr fontId="2" type="noConversion"/>
  </si>
  <si>
    <t>벨기에와 네덜란드 경찰이 유로폴, 유로저스트와 협력해 2022년부터 활동한 국제 피싱 조직을 적발하여 2024년 12월 17곳을 압수수색하고 8명을 체포하며, 현금·명품·전자기기 등을 압수하고, 유럽 10개국 이상의 피해자로부터 수백만 유로를 갈취한 대규모 금융사기 네트워크를 해체했다168.</t>
  </si>
  <si>
    <t>https://thehackernews.com/2024/12/phone-phishing-gang-busted-eight.html</t>
  </si>
  <si>
    <t>자금세탁, 컴퓨터사기, 신분도용, 불법 금융거래, 조직범죄, 악성앱(XHelper) 유포, 마구 계좌 운영, 피싱</t>
  </si>
  <si>
    <t>CloudSEK(보안 연구기관), 각국 법집행기관(Europol 포함), 인도 은행, 인도 경찰, 글로벌 사이버보안 기업</t>
    <phoneticPr fontId="2" type="noConversion"/>
  </si>
  <si>
    <t>인도, 중국, 전 세계(피해자 및 용의자 국적 다양)</t>
    <phoneticPr fontId="2" type="noConversion"/>
  </si>
  <si>
    <t>CloudSEK과 Europol 등은 2023년 10월 말부터 인도 UPI 시스템을 악용해 XHelper 앱으로 수십만 마구 계좌를 조직적으로 관리하며 불법 자금을 세탁한 국제 범죄 네트워크를 적발했고, 글로벌 단속 과정에서 마구 계좌 소유자와 모집자 등 수천 명을 체포해 범죄 해체에 나섰다.</t>
    <phoneticPr fontId="2" type="noConversion"/>
  </si>
  <si>
    <t>https://thehackernews.com/2024/03/how-cybercriminals-are-exploiting.html</t>
    <phoneticPr fontId="2" type="noConversion"/>
  </si>
  <si>
    <t>컴퓨터사기, 비즈니스 사기, 아르바이트 사기, KYC 사기, 결혼 사기, 불법 금융거래, 암호화폐 자금 이체, 조직범죄</t>
  </si>
  <si>
    <t>Telangana Cyber Security Bureau(TGCSB), 각 지역 경찰(하이데라바드, 사이버바드, 라차콘다, 카니마가르, 자크티알 등)</t>
    <phoneticPr fontId="2" type="noConversion"/>
  </si>
  <si>
    <t>인도, 두바이</t>
    <phoneticPr fontId="2" type="noConversion"/>
  </si>
  <si>
    <t>Telangana Cyber Security Bureau가 하이데라바드 등 텔랑가나 전역에서 비즈니스 사기, 아르바이트 사기, KYC 사기, 결혼 사기 등 다양한 사이버 범죄에 연루된 21명을 체포하고, 13명은 은행계좌에서 8억 2천만 루피를 인출해 상위 에이전트에 인도했으며, 나머지 8명은 암호화폐로 자금을 국제 조력자에게 송금한 혐의를 받으며, 대량의 증거물을 압수하고 범죄 네트워크 해체에 나섰다.</t>
    <phoneticPr fontId="2" type="noConversion"/>
  </si>
  <si>
    <t>https://the420.in/telangana-cyber-security-bureau-cracks-down-on-cybercrime-arrests-21-cybercrime-criminals-in-major-operation/</t>
  </si>
  <si>
    <t>사이버범죄(신분도용, 온라인사기, 금융사기, 조직범죄 등)</t>
    <phoneticPr fontId="2" type="noConversion"/>
  </si>
  <si>
    <t>Interpol(인터폴), Nigeria Police Force National Cybercrime Centre(NPF-NCCC), Office of the National Security Adviser(ONSA), National Identity Management Commission(NIMC), ECOWAS(서아프리카경제공동체), British National Crime Agency, UNODC(유엔마약범죄사무소), 각국 법집행기관, 민간기업, 시민사회단체</t>
    <phoneticPr fontId="2" type="noConversion"/>
  </si>
  <si>
    <t>나이지리아, 영국, 프랑스, 아프리카 각국, 전 세계(Interpol 회원국 196개국 및 파트너 13개기관 포함)</t>
    <phoneticPr fontId="2" type="noConversion"/>
  </si>
  <si>
    <t>Interpol과 Nigeria Police Force National Cybercrime Centre 등은 아프리카 내 사이버범죄 대응을 위해 국가 및 국제 기관, 민간과 협력해 정보 공유, 역량 강화, 공동 작전을 펼치며, 나이지리아가 아프리카 사이버범죄 퇴치의 선도국으로 자리매김하고 있음을 밝혔다.</t>
    <phoneticPr fontId="2" type="noConversion"/>
  </si>
  <si>
    <t>https://www.arise.tv/interpol-nigeria-setting-pace-in-fight-against-cybercrime-in-africa/#google_vignette</t>
  </si>
  <si>
    <t>컴퓨터사기(할머니 사기, “grandparent scam”), 신분도용, 불법 금융거래, 조직범죄, 사기, 자금세탁</t>
  </si>
  <si>
    <t>Santiago 검찰청(Santiago Prosecutor’s Office), 미국 연방수사국(HSI), 미국 법무부(DOJ), 뉴욕시경찰(NYPD), FBI, 사회보장국 감사관실(SSA-OIG)</t>
    <phoneticPr fontId="2" type="noConversion"/>
  </si>
  <si>
    <t>도미니카공화국, 미국</t>
    <phoneticPr fontId="2" type="noConversion"/>
  </si>
  <si>
    <t>Santiago 검찰청과 미국 연방수사국(HSI), FBI 등이 협력해 도미니카공화국 내 콜센터를 통해 미국 노년층을 표적으로 한 할머니 사기(“grandparent scam”) 등 대규모 사이버사기 조직을 적발해 21명을 기소하고, 수백만 달러의 피해를 입힌 범죄 네트워크를 해체하는 데 나섰다.</t>
    <phoneticPr fontId="2" type="noConversion"/>
  </si>
  <si>
    <t>https://dominicantoday.com/dr/local/2024/09/25/santiago-prosecutors-office-charges-21-in-major-cybercrime-operation-targeting-elderly-americans/</t>
  </si>
  <si>
    <t>온라인 금융사기, 신분도용, 불법 금융거래, 조직범죄, 여권 및 비자 위조, 관광비자 남용</t>
    <phoneticPr fontId="2" type="noConversion"/>
  </si>
  <si>
    <t>스리랑카 경찰, Criminal Investigations Department(CID), 이민국, 각 지역 경찰서, 중국 대사</t>
    <phoneticPr fontId="2" type="noConversion"/>
  </si>
  <si>
    <t>스리랑카, 중국, 인도, 태국, 베트남, 필리핀(피해자 및 용의자 국적 포함), 전 세계(피해자 국적 다양)</t>
    <phoneticPr fontId="2" type="noConversion"/>
  </si>
  <si>
    <t>스리랑카 경찰이 2024년 10월부터 칸디(Kandy) 등 주요 도시에서 관광비자를 남용한 중국인 등 외국인을 중심으로 온라인 금융사기, 신분도용, 불법 금융거래 등 조직적 범죄 네트워크를 적발해 수백 명을 체포하고, 중국 대사관과 협력해 주요 용의자 및 증거물을 송환·이관하며 국제 사이버범죄의 첨병으로 떠오르는 현상을 효과적으로 대응하고 있다.</t>
    <phoneticPr fontId="2" type="noConversion"/>
  </si>
  <si>
    <t>https://lankasara.com/news/the-growing-menace-of-chinese-cyber-criminals-in-sri-lanka-behind-the-kandy-arrest/</t>
  </si>
  <si>
    <t>마약류 밀매, 불법 데이터 거래, 랜섬웨어, 피싱, DDoS공격, 신분도용, 조직범죄</t>
  </si>
  <si>
    <t>독일 연방범죄청(BKA), 프랑크푸르트 사이버범죄특별수사팀(ZIT), 미국 연방수사국(FBI), 미국 마약단속국(DEA), 미국 국세청 범죄수사국(IRS-CI), 리투아니아 법집행기관</t>
    <phoneticPr fontId="2" type="noConversion"/>
  </si>
  <si>
    <t>독일, 리투아니아, 미국</t>
    <phoneticPr fontId="2" type="noConversion"/>
  </si>
  <si>
    <t>독일, 리투아니아, 미국 법집행기관이 2022년 10월부터 2024년 3월까지 공동으로 Nemesis 마켓을 조사해 2024년 3월 20일 서버를 압수하고, 마약, 불법 데이터, 랜섬웨어 등 다양한 사이버범죄 서비스가 거래된 대형 다크넷 마켓플레이스를 해체하며 약 10만 달러 상당의 암호화폐를 압수했다.</t>
    <phoneticPr fontId="2" type="noConversion"/>
  </si>
  <si>
    <t>https://therecord.media/nemesis-cybercrime-market-takedown-germany</t>
  </si>
  <si>
    <t>컴퓨터사기, 신분도용(미 정부 기관 사칭), 불법 금융거래, 조직범죄</t>
  </si>
  <si>
    <t>필리핀 이민국(Fugitive Search Unit), 미국 법무부(US Department of Justice), 미국 국방부 범죄수사국(US Defense Criminal Investigative Service)</t>
    <phoneticPr fontId="2" type="noConversion"/>
  </si>
  <si>
    <t>필리핀, 미국, 나이지리아(용의자 국적 포함)</t>
    <phoneticPr fontId="2" type="noConversion"/>
  </si>
  <si>
    <t>필리핀 이민국이 미국 정부 요청에 따라 2024년 10월 11일 케손시티에서 미국 내 은퇴 군인을 대상으로 코로나19 대응 가짜 정부 웹사이트를 이용해 긴급 휴가 신청 수수료 명목으로 자금을 갈취한 혐의로 미국에서 수배 중이던 나이지리아인 사이버사기 용의자를 체포해, 현재 송환 절차를 진행 중이다.</t>
    <phoneticPr fontId="2" type="noConversion"/>
  </si>
  <si>
    <t>https://dailypost.ng/2024/10/29/nigerian-national-wanted-in-us-cybercrime-case-arrested-in-philippines/</t>
  </si>
  <si>
    <t>온라인 사기, 피그부처링(“돼지 도살”) 로맨스 사기, 암호화폐 투자 사기, 자금세탁, 인신매매, 강제 노동, 불법 자금 이체, 신분 도용, 데이터 침해</t>
    <phoneticPr fontId="2" type="noConversion"/>
  </si>
  <si>
    <t>미국 재무부, 미국 법무부, 국제법집행기관, 미얀마 카렌 민병대(범죄조직)</t>
    <phoneticPr fontId="2" type="noConversion"/>
  </si>
  <si>
    <t>미국, 미얀마, 태국</t>
    <phoneticPr fontId="2" type="noConversion"/>
  </si>
  <si>
    <t>미국 재무부가 미얀마 카렌 지역의 군벌 가문(소 치트 투, 소 투 에 무, 소 치트 치)을 제재하며, 이들이 운영하는 일련의 비공식 콜센터를 통해 로맨스 사기, 암호화폐 투자 사기, 자금세탁, 인신매매 등 다양한 사이버범죄를 저지른 사실을 밝히고, 최근 3년간 미국 내 피해액만 20억~35억 달러에 달한다고 보고하였다.</t>
    <phoneticPr fontId="2" type="noConversion"/>
  </si>
  <si>
    <t>https://www.scworld.com/news/massive-cybercrime-operation-traced-back-to-myanmar-warlord</t>
  </si>
  <si>
    <t>악성코드(Qakbot) 유포, 랜섬웨어 공격, 사기, 불법 자금 이체, 신분 도용, 데이터 침해, 스팸 폭탄 공격</t>
    <phoneticPr fontId="2" type="noConversion"/>
  </si>
  <si>
    <t>미국 법무부(DOJ), FBI, 유럽법집행기관</t>
    <phoneticPr fontId="2" type="noConversion"/>
  </si>
  <si>
    <t>미국, 러시아(범죄자 소재지), 유럽연합(EU)</t>
    <phoneticPr fontId="2" type="noConversion"/>
  </si>
  <si>
    <t>미국 법무부가 러시아 거주 남성(Qakbot 악성코드 개발자)을 기소하며, 해당 악성코드로 미국 및 전 세계 수십만 대의 컴퓨터를 감염시키고, 의료기관·정부기관을 대상으로 랜섬웨어 공격을 자행해 수억 달러의 피해를 입혔으며, 2,400만 달러 이상의 암호화폐를 환수해 피해자에게 돌려주고 있다.</t>
    <phoneticPr fontId="2" type="noConversion"/>
  </si>
  <si>
    <t>https://www.aa.com.tr/en/americas/us-charges-russian-man-allegedly-behind-global-cybercrime-network/3577168</t>
  </si>
  <si>
    <t>대규모 온라인 사기, 인신매매(강제 범죄 참여), 자금세탁, 데이터 브로커링, 불법 마켓플레이스 운영, 불법 자금 이체, 신분 도용</t>
    <phoneticPr fontId="2" type="noConversion"/>
  </si>
  <si>
    <t>유엔마약범죄사무소(UNODC), 각국 법집행기관, 현지 경찰, 국제인권단체</t>
    <phoneticPr fontId="2" type="noConversion"/>
  </si>
  <si>
    <t>캄보디아, 라오스, 미얀마, 필리핀, 말레이시아, 태국(및 피해자 원산지 다수 국가)</t>
    <phoneticPr fontId="2" type="noConversion"/>
  </si>
  <si>
    <t>유엔마약범죄사무소(UNODC)와 각국 법집행기관이 동남아시아의 대규모 사이버범죄 네트워크를 조사하여, 수만 명의 인신매매 피해자와 연계된 산업적 규모의 온라인 사기 및 자금세탁, 불법 마켓플레이스 운영이 글로벌 위협으로 확산되고 있음을 밝혔다.</t>
    <phoneticPr fontId="2" type="noConversion"/>
  </si>
  <si>
    <t>https://www.occrp.org/en/news/un-transnational-cybercrime-in-southeast-asia-hits-record-high</t>
  </si>
  <si>
    <t>AI 기반 신분 사기, 딥페이크(Deepfake) 및 페이스 스왑, 신분 도용, 데이터 침해, 불법 자금 이체, 원격 인증 시스템 우회</t>
    <phoneticPr fontId="2" type="noConversion"/>
  </si>
  <si>
    <t>iProov Security Operations Center(ISOC), 금융기관 보안팀, 각국 사이버보안기관</t>
    <phoneticPr fontId="2" type="noConversion"/>
  </si>
  <si>
    <t>홍콩, 아시아 태평양 국가, 북미, 유럽(EMEA)</t>
    <phoneticPr fontId="2" type="noConversion"/>
  </si>
  <si>
    <t>iProov이 주도한 조사에서 위협행위자 ‘Grey Nickel’이 AI 기반 딥페이크와 페이스 스왑 등 첨단 기술을 활용해 금융기관 원격 인증 시스템을 우회하는 대규모 신분 사기 및 사기 범죄를 저지른 사실을 밝혀내고, 이로 인해 홍콩에서 2,560만 달러 규모의 피해가 발생하는 등 글로벌 금융 시스템에 심각한 위협이 되고 있음을 확인하였다.</t>
    <phoneticPr fontId="2" type="noConversion"/>
  </si>
  <si>
    <t>https://www.scworld.com/brief/iproov-uncovers-ai-driven-cybercrime-operation</t>
  </si>
  <si>
    <t>온라인 사기, 신분 도용, 불법 자금 이체, 신용카드 사기, 데이터 침해</t>
    <phoneticPr fontId="2" type="noConversion"/>
  </si>
  <si>
    <t>네덜란드 법무부(DOJ), 네덜란드 경찰, 파키스탄 경찰, 현지 금융기관</t>
    <phoneticPr fontId="2" type="noConversion"/>
  </si>
  <si>
    <t>네덜란드, 파키스탄</t>
  </si>
  <si>
    <t>네덜란드 법무부와 경찰이 파키스탄 경찰과 협력해 온라인 사기, 신분 도용, 신용카드 사기 등 다양한 사이버범죄를 저지른 용의자를 체포하고, 현지 금융기관의 지원을 받아 범죄 네트워크를 해체하였다.</t>
  </si>
  <si>
    <t>https://therecord.media/pakistan-cybercrime-busted-dutch-doj</t>
  </si>
  <si>
    <t>해킹, 신분 도용, 온라인 사기, 불법 자금 이체, 신용카드 사기, 데이터 침해</t>
    <phoneticPr fontId="2" type="noConversion"/>
  </si>
  <si>
    <t>INTERPOL, 남아프리카공화국 경찰, 남아프리카공화국 금융 정보 분석 센터(Financial Intelligence Centre, FIC), 현지 은행, 현지 사이버범죄 수사팀INTERPOL, 남아프리카공화국 경찰, 남아프리카공화국 금융 정보 분석 센터(Financial Intelligence Centre, FIC), 현지 은행, 현지 사이버범죄 수사팀</t>
    <phoneticPr fontId="2" type="noConversion"/>
  </si>
  <si>
    <t>남아프리카공화국남아프리카공화국</t>
    <phoneticPr fontId="2" type="noConversion"/>
  </si>
  <si>
    <t>INTERPOL과 남아프리카공화국 경찰이 협력해 신분 도용 및 온라인 사기, 불법 자금 이체 등 다양한 사이버범죄를 저지른 조직을 단속하여, 현지 은행과 금융정보센터의 지원을 받아 범죄 네트워크를 해체하고 용의자를 체포하였다.</t>
    <phoneticPr fontId="2" type="noConversion"/>
  </si>
  <si>
    <t>https://techpoint.africa/news/interpol-busts-cybercrime-in-south-africa/</t>
  </si>
  <si>
    <t>해킹 도구 유포, 불법 소프트웨어 크랙, 도난 데이터 유포, 신분도용, 사이버범죄</t>
    <phoneticPr fontId="2" type="noConversion"/>
  </si>
  <si>
    <t>FBI, Europol, Australian Federal Police, German Federal Criminal Police Office, 기타 국제 법집행기관</t>
    <phoneticPr fontId="2" type="noConversion"/>
  </si>
  <si>
    <t>미국, 유럽연합(특히 독일, 프랑스, 이탈리아, 스페인, 그리스 등), 호주, 루마니아</t>
    <phoneticPr fontId="2" type="noConversion"/>
  </si>
  <si>
    <t>FBI와 유럽, 호주 등 국제 법집행기관이 협력하여 Cracked, Nulled, StarkRDP, Sellix, MySellix 등 해킹·불법 소프트웨어 유통 웹사이트의 도메인을 압수하고, 해킹 도구 및 도난 데이터 유포 등 사이버범죄 생태계를 무력화하였다.</t>
    <phoneticPr fontId="2" type="noConversion"/>
  </si>
  <si>
    <t>https://www.reuters.com/technology/cybersecurity/international-law-enforcement-operation-targets-group-cybercrime-websites-2025-01-29/</t>
  </si>
  <si>
    <t>정보유출 악성코드(Lumma Stealer) 유포, 피싱, 온라인 사기, 금융사기, 신분도용, 랜섬웨어</t>
    <phoneticPr fontId="2" type="noConversion"/>
  </si>
  <si>
    <t>Microsoft, 미국 법무부(Department of Justice), FBI, Europol, 일본 사이버범죄 통제센터, Lumen, Cloudflare, Bitsight</t>
    <phoneticPr fontId="2" type="noConversion"/>
  </si>
  <si>
    <t>미국, 유럽연합(특히 독일, 프랑스 등), 일본</t>
    <phoneticPr fontId="2" type="noConversion"/>
  </si>
  <si>
    <t>Microsoft, 미국 법무부, FBI, Europol, 일본 사이버범죄 통제센터 등 국제 기관이 협력하여 Lumma Stealer 정보유출 악성코드 인프라(2,300개 이상 도메인)를 압수·차단하고, 글로벌 사이버범죄 생태계를 무력화하였다.</t>
    <phoneticPr fontId="2" type="noConversion"/>
  </si>
  <si>
    <t>https://techxplore.com/news/2025-05-global-malware-federal-court-georgia.html</t>
  </si>
  <si>
    <t>사이버범죄(랜섬웨어 공격, 데이터 절도, 금전 갈취, 위조, 컴퓨터 무단 접근 및 손상, 신분 사칭 등)</t>
    <phoneticPr fontId="2" type="noConversion"/>
  </si>
  <si>
    <t>미국 법무부(Department of Justice), FBI, 유럽 및 독일 법집행기관</t>
    <phoneticPr fontId="2" type="noConversion"/>
  </si>
  <si>
    <t>미국, 독일, 유럽연합(영국, 호주 등은 제재에만 참여)</t>
    <phoneticPr fontId="2" type="noConversion"/>
  </si>
  <si>
    <t>미국 법무부가 로만 베레즈노이(33세), 예고르 글레보프(39세) 등 러시아 국적자 2명을 체포 및 기소하며, 이들은 Phobos 랜섬웨어를 이용해 미국 내 수백 개 기관(아동병원, 의료기관, 교육기관 등)을 공격해 데이터를 암호화하고 금전을 갈취했으며, 다크웹 사이트를 통해 절도 데이터를 공개하며 피해자에게 추가 협박을 가했고, 미국·유럽 법집행기관이 100대 이상의 서버를 차단하는 등 범죄 네트워크를 해체했다</t>
    <phoneticPr fontId="2" type="noConversion"/>
  </si>
  <si>
    <t>https://www.cbsnews.com/news/justice-department-charges-russian-men-cybercrime-ransomware/</t>
  </si>
  <si>
    <t>컴퓨터 관련 위조(Republic Act 10175), 경제 사보타주, 소셜 엔지니어링(Republic Act 12010), 조직범죄</t>
    <phoneticPr fontId="2" type="noConversion"/>
  </si>
  <si>
    <t>National Bureau of Investigation (NBI) Special Task Force/Cybercrime Division, NBI Central Visayas Regional Office, Taiwan Police Attaché</t>
    <phoneticPr fontId="2" type="noConversion"/>
  </si>
  <si>
    <t>필리핀, 대만</t>
    <phoneticPr fontId="2" type="noConversion"/>
  </si>
  <si>
    <t>NBI와 대만 경찰이 2025년 5월 14~15일 세부시티 고급 주택가에서 17명의 대만 국적자(여성 1명 포함, 6명은 대만 내 수배자)를 체포하며, 컴퓨터 및 각종 장비를 이용한 대규모 로맨스 스캠 및 금융사기 조직(포시즈 갱)을 해체하고, 피해자에게 5억 달러 이상의 피해를 입혔으며, 체포된 용의자는 필리핀 내 POGO 허브와 연계된 혐의도 받고 있다</t>
    <phoneticPr fontId="2" type="noConversion"/>
  </si>
  <si>
    <t>https://www.gmanetwork.com/regionaltv/news/108133/17-taiwanese-in-cebu-city-fall-in-nbi-cybercrime-operation/story/</t>
  </si>
  <si>
    <t>은행 절도, 음모, ATM 해킹(ATM 논리적 공격, ATM 잭포팅), 조직범죄(트렌 데 아라구아 조직 연계)</t>
    <phoneticPr fontId="2" type="noConversion"/>
  </si>
  <si>
    <t>FBI Cyber Task Force, Western District of New York, 각주 및 지역 경찰(뉴욕, 매사추세츠, 일리노이 등), 미국 법무부</t>
    <phoneticPr fontId="2" type="noConversion"/>
  </si>
  <si>
    <t>미국, 베네수엘라</t>
    <phoneticPr fontId="2" type="noConversion"/>
  </si>
  <si>
    <t>FBI와 미국 각지 경찰이 2024년 10월 5일부터 11월 11일까지 베네수엘라 국적의 트렌 데 아라구아 조직 소속 2명을 체포하며, 뉴욕·매사추세츠·일리노이 등 4개 주 신용협동조합과 은행 ATM을 대상으로 악성코드(ATM 잭포팅)를 이용해 297,000달러 이상을 절도한 대규모 범죄 네트워크를 적발하고, 압수된 현금, 암호화폐, 변조된 ATM 부품 등 다수의 증거를 확보했다.</t>
    <phoneticPr fontId="2" type="noConversion"/>
  </si>
  <si>
    <t>https://gbhackers.com/two-cybercriminals-arrested/</t>
  </si>
  <si>
    <t>사이버범죄(사기, 사기성 연애 사기)</t>
    <phoneticPr fontId="2" type="noConversion"/>
  </si>
  <si>
    <t>Nigeria Police Force, National Cybercrime Centre, National Central Bureau (Nigeria), NCB Tokyo, National Police Agency of Japan</t>
    <phoneticPr fontId="2" type="noConversion"/>
  </si>
  <si>
    <t>나이지리아, 일본</t>
    <phoneticPr fontId="2" type="noConversion"/>
  </si>
  <si>
    <t>나이지리아와 일본 경찰이 공동으로 나이지리아에서 일본인을 노린 사이버범죄 용의자 11명을 체포하고, 사기로 획득한 33,320달러를 회수했다</t>
    <phoneticPr fontId="2" type="noConversion"/>
  </si>
  <si>
    <t>https://www.thecable.ng/npf-eleven-cybercrime-suspects-arrested-33320-recovered-in-joint-operation-with-japanese-police/</t>
  </si>
  <si>
    <t>온라인 사기, 불법 온라인 도박(가상 사기 및 불법 게임 운영)</t>
    <phoneticPr fontId="2" type="noConversion"/>
  </si>
  <si>
    <t>National Central Bureau (NCB) Interpol Indonesia, Philippine National Police(PNP), Philippine security authorities, Polri(인도네시아 국가경찰)</t>
    <phoneticPr fontId="2" type="noConversion"/>
  </si>
  <si>
    <t>인도네시아, 필리핀</t>
    <phoneticPr fontId="2" type="noConversion"/>
  </si>
  <si>
    <t>인도네시아와 필리핀 경찰이 협력하여 마닐라 메트로 지역 Pasay City의 Kanlaon Tower에서 운영되던 온라인 사기 및 불법 도박 조직을 적발하고, 29명의 인도네시아 국적 용의자를 필리핀에서 체포한 뒤 인도네시아로 송환 및 추가 조사를 진행함</t>
    <phoneticPr fontId="2" type="noConversion"/>
  </si>
  <si>
    <t>https://usa.inquirer.net/172272/indonesia-extradites-29-cybercrime-suspects</t>
  </si>
  <si>
    <t>횟수</t>
    <phoneticPr fontId="2" type="noConversion"/>
  </si>
  <si>
    <t>crackdown operation</t>
    <phoneticPr fontId="2" type="noConversion"/>
  </si>
  <si>
    <t>트로이목마유포, 개인정보탈취, 웹캠해킹</t>
    <phoneticPr fontId="2" type="noConversion"/>
  </si>
  <si>
    <t>Europol, 프랑스 경찰, 노르웨이 경찰, 루마니아 경찰, Europol 유럽사이버범죄센터(EC3)</t>
    <phoneticPr fontId="2" type="noConversion"/>
  </si>
  <si>
    <t>프랑스, 노르웨이, 루마니아</t>
    <phoneticPr fontId="2" type="noConversion"/>
  </si>
  <si>
    <t>2015년 12월 초부터 약 2주간 Europol과 프랑스, 노르웨이, 루마니아 등 유럽 각국 경찰이 공조하여 원격 접근 트로이목마를 이용해 개인정보를 절도하고 웹캠을 해킹하는 등 사이버 범죄를 저지른 12명의 젊은 용의자를 체포하고, 다수의 가정을 수색해 컴퓨터와 인터넷 계정을 압수했다</t>
    <phoneticPr fontId="2" type="noConversion"/>
  </si>
  <si>
    <t>https://phys.org/news/2015-12-europe-trojan-horse-cybercrime.html</t>
    <phoneticPr fontId="2" type="noConversion"/>
  </si>
  <si>
    <t>해킹, 신용카드도용, 컴퓨터사기, 조직범죄</t>
  </si>
  <si>
    <t>미국 FBI, 미국 법무부, 시애틀 연방지방법원, 우크라이나</t>
    <phoneticPr fontId="2" type="noConversion"/>
  </si>
  <si>
    <t>미국, 우크라이나, 러시아, 영국, 프랑스, 호주</t>
    <phoneticPr fontId="2" type="noConversion"/>
  </si>
  <si>
    <t>FIN7은 2015년부터 미국을 비롯한 여러 국가의 레스토랑, 게임, 호텔 등 100개 이상의 기업을 대상으로 악성코드와 피싱을 활용해 1,500만 개 이상의 신용카드 정보를 도용하고, 이를 다크웹에서 판매하는 등 대규모 사이버범죄를 저질렀으며, 2018년 주요 인물이 체포되었다.</t>
    <phoneticPr fontId="2" type="noConversion"/>
  </si>
  <si>
    <t>https://www.fbi.gov/contact-us/field-offices/seattle/news/stories/how-cyber-crime-group-fin7-attacked-and-stole-data-from-hundreds-of-us-companies</t>
    <phoneticPr fontId="2" type="noConversion"/>
  </si>
  <si>
    <t>international operation</t>
    <phoneticPr fontId="2" type="noConversion"/>
  </si>
  <si>
    <t>봇넷운영, 악성코드유포, 개인정보탈취, DDoS공격</t>
    <phoneticPr fontId="2" type="noConversion"/>
  </si>
  <si>
    <t>Europol, FBI, 미국 법무부, 독일 연방범죄수사청(BKA), 네덜란드, 영국, 프랑스, 루마니아, 리투아니아, 이탈리아, 스페인, 오스트리아, 벨기에, 세르비아, 크로아티아, 핀란드, 아일랜드 등 각국 경찰 및 수사기관</t>
    <phoneticPr fontId="2" type="noConversion"/>
  </si>
  <si>
    <t>미국, 독일, 네덜란드, 영국, 프랑스, 루마니아, 리투아니아, 이탈리아, 스페인, 오스트리아, 벨기에, 세르비아, 크로아티아, 핀란드, 아일랜드</t>
    <phoneticPr fontId="2" type="noConversion"/>
  </si>
  <si>
    <t>Europol과 FBI를 비롯한 15개국 이상 수사기관이 공조하여 악성코드 및 봇넷을 이용한 사이버 범죄를 저지른 49명을 체포하고, 봇넷 인프라를 무력화하는 등 대규모 국제 사이버 범죄 단속에 성공했다.</t>
    <phoneticPr fontId="2" type="noConversion"/>
  </si>
  <si>
    <t>https://www.bbc.com/news/technology-35028690</t>
    <phoneticPr fontId="2" type="noConversion"/>
  </si>
  <si>
    <t>JPMorgan</t>
    <phoneticPr fontId="2" type="noConversion"/>
  </si>
  <si>
    <t>해킹, 금융사기, 증권사기, 자금세탁, 불법비트코인거래, 불법온라인카지노운영</t>
    <phoneticPr fontId="2" type="noConversion"/>
  </si>
  <si>
    <t>미국 법무부, FBI, 뉴욕 남부지검, 이스라엘 경찰, 기타 국제 수사기관</t>
    <phoneticPr fontId="2" type="noConversion"/>
  </si>
  <si>
    <t>미국, 이스라엘, 러시아, 조지아</t>
    <phoneticPr fontId="2" type="noConversion"/>
  </si>
  <si>
    <t>FBI와 이스라엘 경찰이 협력해 Gery Shalon 등이 주도한 범죄조직을 적발, JP모건 등 12개 기업의 고객 데이터 8,300만 건을 해킹하여 주식 조작 및 불법 온라인 도박, 자금 세탁 등 수백만 달러 규모의 범죄를 저지른 혐의로 주요 용의자를 체포했다</t>
    <phoneticPr fontId="2" type="noConversion"/>
  </si>
  <si>
    <t>https://www.wsj.com/articles/accused-mastermind-of-j-p-morgan-hack-a-product-of-israels-internet-underbelly-1448101982</t>
    <phoneticPr fontId="2" type="noConversion"/>
  </si>
  <si>
    <t>Operation Pleiades</t>
    <phoneticPr fontId="2" type="noConversion"/>
  </si>
  <si>
    <t>DDoS공격, 비트코인갈취, 사이버협박, 컴퓨터사기</t>
  </si>
  <si>
    <t>Europol, Europol 유럽사이버범죄센터(EC3), Joint Cybercrime Action Taskforce (J-CAT), 영국 런던경찰청 사이버범죄수사대(MPCCU), 오스트리아, 독일, 보스니아 헤르체고비나, FBI, 미국 비밀경찰(US Secret Service), 오스트레일리아, 프랑스, 일본, 루마니아, 스위스, INTERPOL</t>
    <phoneticPr fontId="2" type="noConversion"/>
  </si>
  <si>
    <t>영국, 오스트리아, 독일, 보스니아 헤르체고비나, 미국, 오스트레일리아, 프랑스, 일본, 루마니아, 스위스</t>
    <phoneticPr fontId="2" type="noConversion"/>
  </si>
  <si>
    <t>2015년 12월 Europol, FBI 등 10개국 이상의 수사기관이 Operation Pleiades를 통해 DD4BC(DDoS for Bitcoin) 사이버 범죄 조직을 적발하고, DDoS 공격과 비트코인 갈취 혐의로 주요 인물을 체포하며, 온라인 갬블링·금융·엔터테인먼트 등 다양한 산업의 기업을 공격한 대규모 사이버 협박 네트워크에 큰 타격을 입혔다</t>
    <phoneticPr fontId="2" type="noConversion"/>
  </si>
  <si>
    <t>https://www.europol.europa.eu/media-press/newsroom/news/international-action-against-dd4bc-cybercriminal-group</t>
    <phoneticPr fontId="2" type="noConversion"/>
  </si>
  <si>
    <t>Operation Shrouded Horizon</t>
    <phoneticPr fontId="2" type="noConversion"/>
  </si>
  <si>
    <t>악성코드유포, 봇넷운영, 개인정보탈취, 신용카드도용, 해킹</t>
    <phoneticPr fontId="2" type="noConversion"/>
  </si>
  <si>
    <t>FBI, 미국 법무부, Europol, 각국 경찰 및 수사기관(예: 영국, 스웨덴, 보스니아/헤르체고비나, 루마니아, 세르비아, 라트비아, 키프로스, 오스트레일리아, 나이지리아, 덴마크, 캐나다, 콜롬비아, 코스타리카, 크로아티아, 핀란드, 독일, 이스라엘, 마케도니아, 브라질)</t>
    <phoneticPr fontId="2" type="noConversion"/>
  </si>
  <si>
    <t>미국, 영국, 스웨덴, 보스니아 헤르체고비나, 루마니아, 세르비아, 라트비아, 키프로스, 오스트레일리아, 나이지리아, 덴마크, 캐나다, 콜롬비아, 코스타리카, 크로아티아, 핀란드, 독일, 이스라엘, 마케도니아, 브라질</t>
    <phoneticPr fontId="2" type="noConversion"/>
  </si>
  <si>
    <t>FBI와 미국 법무부가 Europol 및 20개국 수사기관과 공조하여 18개월간 진행된 Operation Shrouded Horizon 작전을 통해 영어권 최대 사이버 범죄 포럼인 Darkode를 무력화하고, 악성코드·봇넷·개인정보 절도 등 혐의로 70명 이상을 체포하며, 포럼 사이트와 서버를 압수해 국제 사이버 범죄 네트워크에 큰 타격을 입혔다</t>
    <phoneticPr fontId="2" type="noConversion"/>
  </si>
  <si>
    <t>https://www.fbi.gov/news/stories/cyber-criminal-forum-taken-down</t>
    <phoneticPr fontId="2" type="noConversion"/>
  </si>
  <si>
    <t>Operation Source</t>
    <phoneticPr fontId="2" type="noConversion"/>
  </si>
  <si>
    <t>봇넷운영, 악성코드유포, 금융정보탈취, 랜섬웨어, 루트킷, 가짜백신</t>
    <phoneticPr fontId="2" type="noConversion"/>
  </si>
  <si>
    <t>Europol, Europol 유럽사이버범죄센터(EC3), Joint Cybercrime Action Taskforce(J-CAT), 네덜란드 High Tech Crime Unit, FBI, Intel Security, Kaspersky Lab, Shadowserver</t>
    <phoneticPr fontId="2" type="noConversion"/>
  </si>
  <si>
    <t>네덜란드, 미국, 유럽연합 회원국(독일, 프랑스, 이탈리아 등 대부분), 기타 지원국(보안기업 및 국제기관 협력 포함)</t>
    <phoneticPr fontId="2" type="noConversion"/>
  </si>
  <si>
    <t>2015년 4월 Europol과 네덜란드 High Tech Crime Unit을 주축으로 FBI, 유럽연합 회원국 및 주요 보안기업이 공조하여 Operation Source 작전을 통해 폴리몰픽 Beebone 봇넷을 무력화하고, 100여 개의 명령·제어 서버 도메인을 차단해 금융 정보 절도, 랜섬웨어, 루트킷 등 다양한 악성코드 유포를 차단했다</t>
    <phoneticPr fontId="2" type="noConversion"/>
  </si>
  <si>
    <t>https://www.europol.europa.eu/media-press/newsroom/news/international-police-operation-targets-polymorphic-beebone-botnet</t>
    <phoneticPr fontId="2" type="noConversion"/>
  </si>
  <si>
    <t>Simda 봇넷</t>
    <phoneticPr fontId="2" type="noConversion"/>
  </si>
  <si>
    <t>봇넷운영, 악성코드유포, 개인정보탈취, 금융정보탈취</t>
    <phoneticPr fontId="2" type="noConversion"/>
  </si>
  <si>
    <t>INTERPOL, 네덜란드 국가하이테크범죄수사대(Dutch National High Tech Crime Unit), FBI, 룩셈부르크 경찰, 러시아 내무부 사이버범죄국, 마이크로소프트 디지털범죄팀, Kaspersky Lab, Trend Micro, 일본 사이버방위연구소(Japan Cyber Defense Institute)</t>
    <phoneticPr fontId="2" type="noConversion"/>
  </si>
  <si>
    <t>네덜란드, 미국, 러시아, 룩셈부르크, 일본, 폴란드, 싱가포르(작전 본부), 기타 190여 개국 감염 피해 발생</t>
    <phoneticPr fontId="2" type="noConversion"/>
  </si>
  <si>
    <t>2015년 4월 INTERPOL이 주도하여 네덜란드, 미국, 러시아, 룩셈부르크 등 각국 수사기관과 민간 보안기업이 협력해 Simda 봇넷의 명령·제어 서버를 동시 압수하고, 77만 대 이상 감염된 글로벌 악성코드 유포 및 개인정보 탈취 범죄에 큰 타격을 입혔다.</t>
    <phoneticPr fontId="2" type="noConversion"/>
  </si>
  <si>
    <t>https://www.bbc.com/news/technology-32218381</t>
    <phoneticPr fontId="2" type="noConversion"/>
  </si>
  <si>
    <t>Strike Week</t>
    <phoneticPr fontId="2" type="noConversion"/>
  </si>
  <si>
    <t>데이터탈취, 컴퓨터사기, 악성코드제작, DDoS공격, 피싱, 지적재산도용, 악성코드유포</t>
  </si>
  <si>
    <t>National Crime Agency(NCA, 영국 국가범죄수사청), National Cyber Crime Unit(NCCU), 지역 조직범죄수사대, Metropolitan Police, West Midlands Police, FBI</t>
    <phoneticPr fontId="2" type="noConversion"/>
  </si>
  <si>
    <t>영국, 미국(정보 지원 및 일부 수사 협력)</t>
    <phoneticPr fontId="2" type="noConversion"/>
  </si>
  <si>
    <t>2015년 3월 영국 국가범죄수사청(NCA)을 중심으로 한 25개 작전이 전국적으로 펼쳐지며, 데이터 절도, 사기, 바이러스 제작, DDoS 공격 등 다양한 사이버 범죄 혐의로 56명의 해커가 체포되고, 주요 해킹 집단(Lizard Squad, D33Ds Company 등) 소속 인물도 포함되었으며, FBI 등 국제 파트너의 정보 지원도 이루어졌다</t>
    <phoneticPr fontId="2" type="noConversion"/>
  </si>
  <si>
    <t>https://www.bbc.com/news/technology-31753934</t>
    <phoneticPr fontId="2" type="noConversion"/>
  </si>
  <si>
    <t>DDoS-for-hire</t>
    <phoneticPr fontId="2" type="noConversion"/>
  </si>
  <si>
    <t>Europol, Europol 유럽사이버범죄센터(EC3), FBI, International Cyber Crime Coordination Cell(IC4), 각국 법집행기관(영국, 프랑스, 벨기에, 헝가리, 리투아니아, 네덜란드, 노르웨이, 포르투갈, 루마니아, 스페인, 스웨덴, 오스트레일리아 등)</t>
    <phoneticPr fontId="2" type="noConversion"/>
  </si>
  <si>
    <t>미국, 영국, 프랑스, 벨기에, 헝가리, 리투아니아, 네덜란드, 노르웨이, 포르투갈, 루마니아, 스페인, 스웨덴, 오스트레일리아</t>
    <phoneticPr fontId="2" type="noConversion"/>
  </si>
  <si>
    <t>2016년 12월 5일부터 9일까지 Europol, FBI 등 13개국 법집행기관이 공조하여 DDoS-for-hire 서비스 이용자를 중심으로 101명을 조사하고 34명을 체포하며, 대부분이 20세 미만 청소년임을 확인하고, 글로벌 DDoS 공격 네트워크에 큰 타격을 입혔다</t>
    <phoneticPr fontId="2" type="noConversion"/>
  </si>
  <si>
    <t>https://www.fbi.gov/news/stories/international-cyber-sweep-nets-ddos-attackers</t>
    <phoneticPr fontId="2" type="noConversion"/>
  </si>
  <si>
    <t>Global Airport Action Day</t>
    <phoneticPr fontId="2" type="noConversion"/>
  </si>
  <si>
    <t>항공권사기, 불법이민, 인신매매, 마약밀매, 사이버조직범죄</t>
    <phoneticPr fontId="2" type="noConversion"/>
  </si>
  <si>
    <t>INTERPOL, Europol, Ameripol, Frontex, Canadian 및 US law enforcement agencies, IATA, Perseuss, 항공사, 온라인 여행사, 결제카드 발급사</t>
    <phoneticPr fontId="2" type="noConversion"/>
  </si>
  <si>
    <t>43개국, 국명은 기사에 명시되어 있지 않으나 주요 참여국으로는 미국, 캐나다, 유럽연합 회원국, 라틴아메리카, 아시아, 중동 국가 등이 포함</t>
    <phoneticPr fontId="2" type="noConversion"/>
  </si>
  <si>
    <t>Global Airport Action Day는 43개국 189개 공항에서 도난 또는 해킹된 결제카드 정보로 구매한 항공권을 소지한 193명을 검거하고, 불법 이민, 인신매매, 마약 밀매, 사이버 범죄, 테러 등과 연계된 항공권 사기 범죄 네트워크를 무력화한 국제 공조 작전이다</t>
    <phoneticPr fontId="2" type="noConversion"/>
  </si>
  <si>
    <t>https://www.interpol.int/News-and-Events/News/2016/Global-Airport-Action-Day-targets-airline-ticket-fraudsters</t>
    <phoneticPr fontId="2" type="noConversion"/>
  </si>
  <si>
    <t>Operation Avalanche</t>
    <phoneticPr fontId="2" type="noConversion"/>
  </si>
  <si>
    <t>스팸, 피싱, 악성코드유포, 랜섬웨어, 자금세탁, 금융기관해킹</t>
  </si>
  <si>
    <t>Europol, 미국 법무부(DOJ), 독일 법집행기관, 각국 경찰 및 수사기관, 보안기업(시만텍, 노턴 등), 학계</t>
    <phoneticPr fontId="2" type="noConversion"/>
  </si>
  <si>
    <t>독일, 미국, 영국, 프랑스, 네덜란드, 이탈리아, 스페인, 폴란드, 오스트리아, 벨기에, 루마니아, 스위스, 일본 등 약 40개국(피해자 180개국 이상)</t>
    <phoneticPr fontId="2" type="noConversion"/>
  </si>
  <si>
    <t>2016년 11월 30일 Europol, 미국 법무부, 독일 등 약 40개국 수사기관과 민간 보안기업이 공조해 Operation Avalanche를 통해 세계 최대 규모의 스팸·피싱·악성코드 유포 네트워크를 무력화하고, 800,000개 이상 도메인과 221개 서버를 차단하며, 5명을 체포해 글로벌 사이버 범죄에 큰 타격을 입혔다.</t>
    <phoneticPr fontId="2" type="noConversion"/>
  </si>
  <si>
    <t>https://www.ibtimes.co.uk/cybercrime-network-avalanche-brought-down-by-global-operation-1594519</t>
    <phoneticPr fontId="2" type="noConversion"/>
  </si>
  <si>
    <t>Operation Ciconia Alba</t>
    <phoneticPr fontId="2" type="noConversion"/>
  </si>
  <si>
    <t>인신매매, 노동착취, 마약밀매, 사이버조직범죄</t>
    <phoneticPr fontId="2" type="noConversion"/>
  </si>
  <si>
    <t>Europol, INTERPOL, Frontex, EU 회원국 경찰 및 관련 기관</t>
    <phoneticPr fontId="2" type="noConversion"/>
  </si>
  <si>
    <t>유럽연합(EU) 회원국 및 파트너 국가(미국, 캐나다 등)</t>
    <phoneticPr fontId="2" type="noConversion"/>
  </si>
  <si>
    <t>Operation Ciconia Alba는 공항, 국경 등 주요 범죄 핫스팟을 중심으로 인신매매, 노동 착취, 마약 밀매, 사이버 범죄, 테러 등 다양한 조직범죄를 근절하기 위한 국제 공조 작전이다</t>
    <phoneticPr fontId="2" type="noConversion"/>
  </si>
  <si>
    <t>https://www.europol.europa.eu/media-press/newsroom/news/international-operation-ciconia-alba-kicks-to-crack-down-organised-crime</t>
    <phoneticPr fontId="2" type="noConversion"/>
  </si>
  <si>
    <t>2018.01.01.</t>
    <phoneticPr fontId="2" type="noConversion"/>
  </si>
  <si>
    <t>2018.12.31.</t>
    <phoneticPr fontId="2" type="noConversion"/>
  </si>
  <si>
    <t>Operation Hyperion</t>
    <phoneticPr fontId="2" type="noConversion"/>
  </si>
  <si>
    <t>다크웹불법물품거래, 자금세탁, 마약유통</t>
    <phoneticPr fontId="2" type="noConversion"/>
  </si>
  <si>
    <t>FBI, Five Eyes Law Enforcement Group (FELEG) 소속 기관(미국, 캐나다, 영국, 오스트레일리아, 뉴질랜드 경찰), 네덜란드 경찰, 스웨덴 경찰</t>
    <phoneticPr fontId="2" type="noConversion"/>
  </si>
  <si>
    <t>미국, 캐나다, 영국, 오스트레일리아, 뉴질랜드, 네덜란드, 스웨덴</t>
    <phoneticPr fontId="2" type="noConversion"/>
  </si>
  <si>
    <t>Operation Hyperion은 전 세계 다크웹 시장 사용자 수천 명을 식별하고, 미국·뉴질랜드·스웨덴 등에서 다크웹을 통한 불법 물품 거래 및 자금 세탁 혐의로 수사 및 체포가 이루어진 국제 공조 작전이다.</t>
    <phoneticPr fontId="2" type="noConversion"/>
  </si>
  <si>
    <t>https://cyberscoop.com/dark-web-fbi-sting-zcash-operation-hyperion/</t>
    <phoneticPr fontId="2" type="noConversion"/>
  </si>
  <si>
    <t>Andromeda Botnet Dismantling</t>
    <phoneticPr fontId="2" type="noConversion"/>
  </si>
  <si>
    <t>악성코드유포, 봇넷운영, 범죄적인프라활용</t>
    <phoneticPr fontId="2" type="noConversion"/>
  </si>
  <si>
    <t>FBI, 뤼네부르크 중앙형사수사국(독일), 유로폴 유럽사이버범죄센터(EC3), Joint Cybercrime Action Task Force(J-CAT), 유로저스트(Eurojust), 마이크로소프트 등 민간기업</t>
    <phoneticPr fontId="2" type="noConversion"/>
  </si>
  <si>
    <t>미국, 독일, 오스트리아, 벨기에, 핀란드, 프랑스, 이탈리아, 네덜란드, 폴란드, 스페인, 영국, 호주, 벨라루스, 캐나다, 몬테네그로, 싱가포르, 대만</t>
    <phoneticPr fontId="2" type="noConversion"/>
  </si>
  <si>
    <t>국제 공조 작전을 통해 Andromeda 봇넷의 인프라를 무력화하고, 악성코드 유포 및 봇넷 운영에 사용된 서버와 도메인을 차단하며, 벨라루스에서 용의자 1명을 체포하였다.</t>
    <phoneticPr fontId="2" type="noConversion"/>
  </si>
  <si>
    <t>https://www.europol.europa.eu/media-press/newsroom/news/andromeda-botnet-dismantled-in-international-cyber-operation</t>
    <phoneticPr fontId="2" type="noConversion"/>
  </si>
  <si>
    <t>Bakovia</t>
    <phoneticPr fontId="2" type="noConversion"/>
  </si>
  <si>
    <t>해킹, 컴퓨터시스템방해, 사이버협박</t>
    <phoneticPr fontId="2" type="noConversion"/>
  </si>
  <si>
    <t>루마니아 경찰(서비스 포 컴뱃팅 사이버크라임), 네덜란드 하이테크 범죄 수사대(HTCC), 영국 국가범죄청(NCA), 미국 연방수사국(FBI), 미국 비밀경호국(US Secret Service), 유로폴(EC3, J-CAT), 맥아피(McAfee)</t>
    <phoneticPr fontId="2" type="noConversion"/>
  </si>
  <si>
    <t>루마니아, 네덜란드, 영국, 미국</t>
    <phoneticPr fontId="2" type="noConversion"/>
  </si>
  <si>
    <t>CTB-Locker와 Cerber 랜섬웨어를 유포한 범죄조직을 다국적 합동 수사로 적발하여 5명의 용의자를 체포하고, 수많은 하드웨어와 증거를 압수하였다.</t>
    <phoneticPr fontId="2" type="noConversion"/>
  </si>
  <si>
    <t>https://cyberscoop.com/ctb-locker-cerber-ransomware-arrests-europol-mcafee/</t>
    <phoneticPr fontId="2" type="noConversion"/>
  </si>
  <si>
    <t>Joint Investigation Team operation</t>
    <phoneticPr fontId="2" type="noConversion"/>
  </si>
  <si>
    <t>악성코드유포, 금융기관해킹, 자금세탁, 범죄수익은닉</t>
  </si>
  <si>
    <t>Europol, Eurojust, 오스트리아 법집행기관, 벨기에 법집행기관, 우크라이나 법집행기관</t>
    <phoneticPr fontId="2" type="noConversion"/>
  </si>
  <si>
    <t>오스트리아, 벨기에, 우크라이나, 유럽연합</t>
    <phoneticPr fontId="2" type="noConversion"/>
  </si>
  <si>
    <t>2015년 6월 Europol과 Eurojust가 주도하고 오스트리아, 벨기에, 우크라이나 등 6개국 수사기관이 협력한 합동수사팀이 Zeus와 SpyEye 등 악성코드를 이용해 유럽 전역의 온라인 뱅킹 시스템을 해킹하고 자금세탁에 가담한 대형 사이버 범죄 조직을 적발, 5명을 체포하고 컴퓨터 장비를 압수했다.</t>
    <phoneticPr fontId="2" type="noConversion"/>
  </si>
  <si>
    <t>https://www.europol.europa.eu/media-press/newsroom/news/major-cybercrime-ring-dismantled-joint-investigation-team</t>
    <phoneticPr fontId="2" type="noConversion"/>
  </si>
  <si>
    <t>Operation Bayonet</t>
    <phoneticPr fontId="2" type="noConversion"/>
  </si>
  <si>
    <t>마약거래, 다크웹불법물품거래, 악성코드유포, 해킹도구판매, 불법데이터유출</t>
    <phoneticPr fontId="2" type="noConversion"/>
  </si>
  <si>
    <t>미국 연방수사국(FBI), 미국 마약단속국(DEA), 네덜란드 경찰, Europol, 독일 경찰, 리투아니아 경찰, 캐나다 경찰, 태국 경찰, 영국 경찰, 프랑스 경찰</t>
    <phoneticPr fontId="2" type="noConversion"/>
  </si>
  <si>
    <t>미국, 네덜란드, 독일, 리투아니아, 캐나다, 태국, 영국, 프랑스</t>
    <phoneticPr fontId="2" type="noConversion"/>
  </si>
  <si>
    <t>국제 공조로 AlphaBay와 Hansa Market이라는 세계 최대 다크웹 마켓플레이스를 폐쇄하고, 불법 마약·무기·악성코드 등 거래자 정보를 수집하며, 사이버범죄 네트워크에 큰 타격을 입혔다.</t>
    <phoneticPr fontId="2" type="noConversion"/>
  </si>
  <si>
    <t>https://www.theguardian.com/technology/2017/jul/20/dark-web-marketplaces-alphabay-hansa-shut-down</t>
    <phoneticPr fontId="2" type="noConversion"/>
  </si>
  <si>
    <t>Methbot, 3ve</t>
    <phoneticPr fontId="2" type="noConversion"/>
  </si>
  <si>
    <t>디지털광고사기, 전자기록위변조, 자금세탁, 봇넷운영</t>
    <phoneticPr fontId="2" type="noConversion"/>
  </si>
  <si>
    <t>미국 연방수사국(FBI), 미국 법무부, 불가리아 경찰, White Ops(미국 사이버보안 기업), XBT/Webzilla(웹호스팅 기업), Google(기술 분석)</t>
    <phoneticPr fontId="2" type="noConversion"/>
  </si>
  <si>
    <t>미국, 러시아, 불가리아, 카자흐스탄, 네덜란드, 에스토니아, 말레이시아(주요 용의자 체포 및 피해 발생 국가)</t>
    <phoneticPr fontId="2" type="noConversion"/>
  </si>
  <si>
    <t>러시아 및 카자흐스탄 출신 범죄자들이 미국과 유럽 등지의 서버를 활용해 ‘Methbot’와 ‘3ve’ 봇넷을 통해 디지털 광고 사기를 조직적으로 저지른 사실이 드러나, 미국 법무부와 FBI, 국제 수사기관이 2018년 주요 용의자들을 체포하고 수억 달러 규모의 피해를 확인했다.</t>
    <phoneticPr fontId="2" type="noConversion"/>
  </si>
  <si>
    <t>https://www.rferl.org/a/methbot-russia-internet-fraud-state-sponsored-hacking-zhukov/31241417.html</t>
  </si>
  <si>
    <t>Operation Power Off</t>
    <phoneticPr fontId="2" type="noConversion"/>
  </si>
  <si>
    <t>영국 국가범죄수사국(National Crime Agency), 네덜란드 경찰, Europol, FBI, Police Scotland, 미국 법무부, 독일 경찰 등</t>
    <phoneticPr fontId="2" type="noConversion"/>
  </si>
  <si>
    <t>영국, 네덜란드, 미국, 독일, 크로아티아, 세르비아, 캐나다, 이탈리아, 스페인, 호주, 홍콩</t>
    <phoneticPr fontId="2" type="noConversion"/>
  </si>
  <si>
    <t>국제 법집행기관이 Operation Power Off 작전을 통해 세계 최대 DDoS-for-hire 서비스 Webstresser.org를 차단하고, 6명의 관리자를 체포하며, 136,000명 이상의 등록 사용자가 400만 건 이상의 사이버공격을 수행한 불법 인프라를 무력화하였다.</t>
    <phoneticPr fontId="2" type="noConversion"/>
  </si>
  <si>
    <t>https://www.welivesecurity.com/2018/04/27/worlds-biggest-ddos-marketplace/</t>
    <phoneticPr fontId="2" type="noConversion"/>
  </si>
  <si>
    <t>2019.01.01.</t>
    <phoneticPr fontId="2" type="noConversion"/>
  </si>
  <si>
    <t>2019.12.31.</t>
    <phoneticPr fontId="2" type="noConversion"/>
  </si>
  <si>
    <t>Operation WireWire</t>
    <phoneticPr fontId="2" type="noConversion"/>
  </si>
  <si>
    <t>비즈니스이메일사기(BEC), 이메일계정침해, 컴퓨터사기, 금융사기, 자금세탁</t>
    <phoneticPr fontId="2" type="noConversion"/>
  </si>
  <si>
    <t>미국 법무부, FBI, 미국 국토안보부, 미국 재무부, 미국 우편검찰청, 각국 법집행기관</t>
    <phoneticPr fontId="2" type="noConversion"/>
  </si>
  <si>
    <t>미국, 나이지리아, 캐나다, 모리셔스, 폴란드</t>
    <phoneticPr fontId="2" type="noConversion"/>
  </si>
  <si>
    <t>미국 법무부와 FBI 등 국제 법집행기관이 Operation WireWire 작전을 통해 비즈니스 이메일 사기(BEC) 조직을 해체하고, 74명을 체포하며 약 240만 달러를 압수하고 1,400만 달러 상당의 불법 송금을 차단 및 회수하였다.</t>
    <phoneticPr fontId="2" type="noConversion"/>
  </si>
  <si>
    <t>https://www.fbi.gov/news/stories/international-bec-takedown-061118</t>
  </si>
  <si>
    <t>Charlie Foxter</t>
    <phoneticPr fontId="2" type="noConversion"/>
  </si>
  <si>
    <t>사이버범죄, 금융사기, 온라인도박, 비자규정위반</t>
    <phoneticPr fontId="2" type="noConversion"/>
  </si>
  <si>
    <t>네팔 중앙수사국, 네팔 경찰, 중국 국가중앙국(Interpol 연계), Interpol</t>
    <phoneticPr fontId="2" type="noConversion"/>
  </si>
  <si>
    <t>네팔, 중국</t>
    <phoneticPr fontId="2" type="noConversion"/>
  </si>
  <si>
    <t>네팔 경찰이 중국 국가중앙국과 협력하여 122명의 중국인을 체포하였으며, 이들은 네팔 내에서 사이버범죄, 금융사기, 온라인 도박 등 불법 활동을 벌인 혐의로 조사 중이다.</t>
    <phoneticPr fontId="2" type="noConversion"/>
  </si>
  <si>
    <t>https://www.aljazeera.com/news/2019/12/24/nepal-detains-122-chinese-for-suspected-cybercrime-bank-fraud</t>
  </si>
  <si>
    <t>Classiscam</t>
    <phoneticPr fontId="2" type="noConversion"/>
  </si>
  <si>
    <t>컴퓨터사기, 피싱, 신원도용, 불법데이터유출</t>
  </si>
  <si>
    <t>Group-IB(그룹아이비), 각국 경찰 및 수사기관(특정 기관명은 기사에 미상세)</t>
    <phoneticPr fontId="2" type="noConversion"/>
  </si>
  <si>
    <t>러시아, 미국, 유럽(불가리아, 체코, 프랑스, 폴란드, 루마니아 등), 구소련 국가 등</t>
    <phoneticPr fontId="2" type="noConversion"/>
  </si>
  <si>
    <t>Group-IB(그룹아이비)와 각국 수사기관이 조사한 결과, 러시아를 기반으로 한 Classiscam(클래시캠) 사이버범죄 조직이 2019년부터 미국, 유럽, 구소련 국가 등을 대상으로 온라인 마켓플레이스에서 피싱 및 사기 활동을 벌여 2020년 한 해 동안 650만 달러 이상을 탈취한 것으로 드러났다.</t>
    <phoneticPr fontId="2" type="noConversion"/>
  </si>
  <si>
    <t>https://www.zdnet.com/article/scam-as-a-service-operation-made-more-than-6-5-million-in-2020/</t>
  </si>
  <si>
    <t>EndOCSEA Europe</t>
    <phoneticPr fontId="2" type="noConversion"/>
  </si>
  <si>
    <t>아동성착취성학대, 아동성착취물유통, 아동성착취물제작유포</t>
    <phoneticPr fontId="2" type="noConversion"/>
  </si>
  <si>
    <t>유럽평의회(Council of Europe), Fund to End Violence Against Children, 각 회원국 법집행기관, 기타 국제기구</t>
    <phoneticPr fontId="2" type="noConversion"/>
  </si>
  <si>
    <t>알바니아, 아르메니아, 아제르바이잔, 보스니아 헤르체고비나, 조지아, 몰도바, 몬테네그로, 세르비아, 터키, 우크라이나 등(유럽평의회 회원국 전체에 혜택, 10개국에 집중)</t>
    <phoneticPr fontId="2" type="noConversion"/>
  </si>
  <si>
    <t>유럽평의회는 EndOCSEA@Europe 프로젝트를 통해 회원국들이 아동 성착취 및 성학대 온라인 범죄를 예방·대응하고 피해 아동을 보호·지원하며, 범죄자 처벌을 위한 전자증거 확보와 유해 콘텐츠 삭제 등 국제 협력 체계를 강화하고 있다.</t>
    <phoneticPr fontId="2" type="noConversion"/>
  </si>
  <si>
    <t>https://www.coe.int/es/web/children/endocsea-europe/-/asset_publisher/KiKqVYLiqpEJ/content/how-do-we-prevent-and-combat-online-child-sexual-exploitation-and-abuse-</t>
    <phoneticPr fontId="2" type="noConversion"/>
  </si>
  <si>
    <t>IM RAT 단속</t>
    <phoneticPr fontId="2" type="noConversion"/>
  </si>
  <si>
    <t>악성코드(Imminent Monitor RAT) 유포, 불법 원격 접근, 해킹, 데이터 유출, 키로깅, 웹캠 불법 접근, 개인정보 도용, 사기, 절도, 보이어리즘</t>
    <phoneticPr fontId="2" type="noConversion"/>
  </si>
  <si>
    <t>Europol, Australian Federal Police(AFP), 영국 국립범죄수사국(NCA), 벨기에 경찰, 콜롬비아 경찰, 체코 경찰, 네덜란드 경찰, 폴란드 경찰, 스페인 경찰, 스웨덴 경찰</t>
    <phoneticPr fontId="2" type="noConversion"/>
  </si>
  <si>
    <t>호주, 벨기에, 콜롬비아, 체코, 네덜란드, 폴란드, 스페인, 스웨덴, 영국</t>
    <phoneticPr fontId="2" type="noConversion"/>
  </si>
  <si>
    <t>Europol과 호주, 유럽 각국 법집행기관이 협력하여 Imminent Monitor RAT 악성코드의 인프라 및 웹사이트를 압류하고, 개발자 및 대량 사용자 13명을 체포하며, 124개국에서 14,500명 이상이 사용한 위험한 원격제어 악성코드 네트워크를 해체하였다</t>
    <phoneticPr fontId="2" type="noConversion"/>
  </si>
  <si>
    <t>https://thehackernews.com/2019/11/europol-imminent-monitor-rat.html</t>
  </si>
  <si>
    <t>Interpol cybercrime operation across Africa</t>
    <phoneticPr fontId="2" type="noConversion"/>
  </si>
  <si>
    <t>컴퓨터사기, 금융사기, 신용카드 사기, 피싱, 해킹, 온라인 사기, 개인정보 도용</t>
  </si>
  <si>
    <t>Interpol, EFCC(Economic and Financial Crimes Commission), 각국 법집행기관</t>
    <phoneticPr fontId="2" type="noConversion"/>
  </si>
  <si>
    <t>나이지리아, 남아프리카공화국, 케냐, 코트디부아르 등 아프리카 국가</t>
    <phoneticPr fontId="2" type="noConversion"/>
  </si>
  <si>
    <t>Interpol과 EFCC 등 아프리카 각국 법집행기관이 협력하여 나이지리아 등지에서 발생한 사이버사기, 금융사기, 피싱 등 다양한 사이버범죄를 저지른 용의자 다수를 체포하였다.</t>
    <phoneticPr fontId="2" type="noConversion"/>
  </si>
  <si>
    <t>https://www.bbc.com/pidgin/tori-49629324</t>
  </si>
  <si>
    <t>Mikhailov case</t>
    <phoneticPr fontId="2" type="noConversion"/>
  </si>
  <si>
    <t>국가기밀 유출(국가반역), 대외정보 제공, 해킹, 사이버범죄 협력, 불법 정보 유포</t>
    <phoneticPr fontId="2" type="noConversion"/>
  </si>
  <si>
    <t>러시아 연방보안국(FSB) 정보보안센터(CIS), Kaspersky Lab, FBI, 미국 법무부</t>
    <phoneticPr fontId="2" type="noConversion"/>
  </si>
  <si>
    <t>러시아 연방보안국(FSB) 정보보안센터 소속 미하일로프 대령과 카스퍼스키랩의 스토야노프 등은 미국 정보기관(FBI 등)에 러시아의 사이버범죄 관련 기밀 정보를 제공한 혐의로 국가반역죄로 기소되어 장기형을 선고받았으며, 이 사건으로 러시아-미국 사이버범죄 공조가 완전히 중단되었다.</t>
    <phoneticPr fontId="2" type="noConversion"/>
  </si>
  <si>
    <t>https://www.rferl.org/a/russia-hacker-mikhailov-stoyanov-fsb-scandal-for-russian-security-agency/29794092.html</t>
  </si>
  <si>
    <t>Operation NightFury</t>
    <phoneticPr fontId="2" type="noConversion"/>
  </si>
  <si>
    <t>Magecart(웹 스키밍) 공격, 결제 및 개인정보 탈취, 신용카드 사기, 신분 도용, 불법 자금 이체, 명령제어서버 운영</t>
    <phoneticPr fontId="2" type="noConversion"/>
  </si>
  <si>
    <t>INTERPOL, 인도네시아 경찰(Indonesian National Police, Bareskrim Polri), Group-IB, Sanguine Security</t>
    <phoneticPr fontId="2" type="noConversion"/>
  </si>
  <si>
    <t>인도네시아, 싱가포르(Group-IB 본사), 오스트레일리아, 유럽, 미국, 남미 등(피해 및 인프라 분포 국가)</t>
    <phoneticPr fontId="2" type="noConversion"/>
  </si>
  <si>
    <t>INTERPOL이 주도한 Operation Night Fury 작전에서 인도네시아 경찰과 Group-IB가 협력해, 수백 개의 이커머스 사이트에 GetBilling 악성코드를 심어 결제 및 개인정보를 탈취한 Magecart 스타일 범죄자 3명을 체포하고, 다수의 명령제어서버를 압수하여 대규모 사이버범죄 네트워크를 해체하였다.</t>
    <phoneticPr fontId="2" type="noConversion"/>
  </si>
  <si>
    <t>https://cyberscoop.com/magecart-arrest-indonesia-interpol-getbilling/</t>
  </si>
  <si>
    <t>Operation Rewired</t>
    <phoneticPr fontId="2" type="noConversion"/>
  </si>
  <si>
    <t>비즈니스 이메일 사기(BEC), 온라인 사기, 신용카드 사기, 피싱, 컴퓨터 관련 사기, 신원 도용</t>
    <phoneticPr fontId="2" type="noConversion"/>
  </si>
  <si>
    <t>FBI, Nigeria Economic and Financial Crimes Commission (EFCC), 각국 법집행기관</t>
    <phoneticPr fontId="2" type="noConversion"/>
  </si>
  <si>
    <t>미국, 나이지리아, 터키, 가나, 프랑스, 이탈리아, 일본, 케냐, 말레이시아, 영국</t>
    <phoneticPr fontId="2" type="noConversion"/>
  </si>
  <si>
    <t>FBI와 EFCC 등 국제 법집행기관이 Operation Rewired 작전을 통해 미국과 나이지리아를 중심으로 10개국에서 281명을 체포하고, 비즈니스 이메일 사기(BEC) 등 다양한 사이버사기 범죄 네트워크를 해체하였다</t>
    <phoneticPr fontId="2" type="noConversion"/>
  </si>
  <si>
    <t>https://techxplore.com/news/2019-09-fbi-nigeria-step-up-cyber-crime.html#google_vignette</t>
  </si>
  <si>
    <t>2023.01.01.</t>
    <phoneticPr fontId="2" type="noConversion"/>
  </si>
  <si>
    <t>2023.12.31.</t>
    <phoneticPr fontId="2" type="noConversion"/>
  </si>
  <si>
    <t>Trigger IV</t>
    <phoneticPr fontId="2" type="noConversion"/>
  </si>
  <si>
    <t>테러리즘, 사이버범죄, 조직범죄(마약 밀수 등), 불법 무기 거래, 불법 이민자 밀송, 불법 상품 밀매</t>
    <phoneticPr fontId="2" type="noConversion"/>
  </si>
  <si>
    <t>INTERPOL, Arab Interior Ministers Council, Gulf Cooperation Council Police Organization(GCCPOL), Naif Arab University for Security Sciences, 각국 법집행기관</t>
    <phoneticPr fontId="2" type="noConversion"/>
  </si>
  <si>
    <t>알제리, 바레인, 이집트, 이라크, 요르단, 쿠웨이트, 리비아, 모리타니, 모로코, 오만, 팔레스타인, 카타르, 사우디아라비아, 수단, 튀니지, 아랍에미리트, 예멘</t>
    <phoneticPr fontId="2" type="noConversion"/>
  </si>
  <si>
    <t>중동과 북아프리카 17개국 경찰청장 및 주요 법집행기관 관계자가 모로코 마라케시에서 2일간 회의를 개최하여 테러리즘, 사이버범죄, 조직범죄 등 다양한 범죄 위협에 대한 지역 및 국제 협력 방안을 논의하였으며, INTERPOL 주도 하에 불법 무기 단속(Trigger IV), 해상 국경 보안(Neptune II) 등 작전 성과도 공유하였다</t>
    <phoneticPr fontId="2" type="noConversion"/>
  </si>
  <si>
    <t>https://www.interpol.int/News-and-Events/News/2019/Middle-East-and-North-Africa-Police-Chiefs-address-regional-crime-issues</t>
  </si>
  <si>
    <t>VIDTF Operation</t>
    <phoneticPr fontId="2" type="noConversion"/>
  </si>
  <si>
    <t>아동성학대, 아동포르노, 아동 성적 착취, 불법 이미지·영상 유포</t>
    <phoneticPr fontId="2" type="noConversion"/>
  </si>
  <si>
    <t>Malta Police Force, Europol, Europol European Cybercrime Centre, INTERPOL</t>
    <phoneticPr fontId="2" type="noConversion"/>
  </si>
  <si>
    <t>몰타, 호주, 벨기에, 캐나다, 크로아티아, 덴마크, 프랑스, 독일, 그리스, 헝가리, 이탈리아, 라트비아, 리투아니아, 네덜란드, 노르웨이, 루마니아, 슬로베니아, 스페인, 스웨덴, 스위스, 미국</t>
    <phoneticPr fontId="2" type="noConversion"/>
  </si>
  <si>
    <t>Europol의 Victim Identification Taskforce(VIDTF)가 21개국 30명의 법집행 전문가와 협력해 4,800만 건 이상의 아동성학대 이미지와 동영상을 분석하며, 몰타 경찰을 포함한 국제팀이 4명의 피해 아동 신원을 확인하고 보호 조치를 마련하였다.</t>
    <phoneticPr fontId="2" type="noConversion"/>
  </si>
  <si>
    <t>https://www.maltatoday.com.mt/news/court_and_police/98240/malta_police_aids_europol_to_identify_four_child_sexual_abuse_victims</t>
  </si>
  <si>
    <t>xDedic</t>
    <phoneticPr fontId="2" type="noConversion"/>
  </si>
  <si>
    <t>해킹, 불법 서버 접근권 거래, 신원 및 개인정보 유출, 컴퓨터사기, 데이터 침해, 사기</t>
  </si>
  <si>
    <t>Europol, 미국 법무부(Department of Justice), FBI, 벨기에 경찰, 우크라이나 경찰, Kaspersky Lab</t>
    <phoneticPr fontId="2" type="noConversion"/>
  </si>
  <si>
    <t>미국, 벨기에, 우크라이나, 유럽연합(EU)</t>
    <phoneticPr fontId="2" type="noConversion"/>
  </si>
  <si>
    <t>Europol과 미국 법무부, 벨기에 및 우크라이나 경찰 등 국제 법집행기관이 협력해 xDedic이라는 불법 서버 접근권 및 개인정보 거래 시장을 폐쇄하고, 벨기에와 우크라이나에 위치한 서버를 압류하며, 해당 시장에서 6,800만 달러 이상의 사기 피해가 발생한 사실을 확인하였다.</t>
    <phoneticPr fontId="2" type="noConversion"/>
  </si>
  <si>
    <t>https://thehackernews.com/2019/01/cyber-criminal-marketplace.html</t>
  </si>
  <si>
    <t>2BaGoldMule</t>
    <phoneticPr fontId="2" type="noConversion"/>
  </si>
  <si>
    <t>자금세탁, 불법 자금 이체, 신분 도용, 가짜 회사 설립, 해킹 및 사이버범죄 관련 불법 자금 처리</t>
    <phoneticPr fontId="2" type="noConversion"/>
  </si>
  <si>
    <t>Europol, 포르투갈 사법경찰(Polícia Judiciária), 미국 법무부(DOJ), FBI, 스페인 국립경찰(Policía Nacional), 영국 국가범죄청(NCA), 라트비아 경찰, 불가리아 경찰, 조지아 내무부, 이탈리아 경찰, 독일 경찰, 스위스 경찰, 폴란드 경찰, 체코 경찰, 오스트레일리아 경찰, 스웨덴 경찰, 오스트리아 경찰, 벨기에 경찰, 카탈루냐 경찰(Mossos d’Esquadra)</t>
    <phoneticPr fontId="2" type="noConversion"/>
  </si>
  <si>
    <t>포르투갈, 미국, 스페인, 영국, 라트비아, 불가리아, 조지아, 이탈리아, 독일, 스위스, 폴란드, 체코, 오스트레일리아, 스웨덴, 오스트리아, 벨기에</t>
    <phoneticPr fontId="2" type="noConversion"/>
  </si>
  <si>
    <t>Europol이 주도한 2BaGoldMule 작전에서 16개국 법집행기관이 협력해 QQAAZZ 범죄 네트워크를 해체하고, 수천만 유로의 불법 자금을 처리한 멤버 20명을 체포하며, 전 세계적으로 해킹 및 사이버범죄로 인한 피해를 방지하였다.</t>
    <phoneticPr fontId="2" type="noConversion"/>
  </si>
  <si>
    <t>https://www.europol.europa.eu/media-press/newsroom/news/20-arrests-in-qqaazz-multi-million-money-laundering-case</t>
  </si>
  <si>
    <t>Carding Action 2020</t>
    <phoneticPr fontId="2" type="noConversion"/>
  </si>
  <si>
    <t>신용카드 정보 도난, 다크웹에서의 신용카드 정보 거래, 신분 도용, 사기, 불법 자금 이체</t>
    <phoneticPr fontId="2" type="noConversion"/>
  </si>
  <si>
    <t>Europol, Group-IB, 이탈리아 경찰, 헝가리 경찰, 영국 Dedicated Card and Payment Crime Unit(DCPCU)</t>
    <phoneticPr fontId="2" type="noConversion"/>
  </si>
  <si>
    <t>이탈리아, 헝가리, 영국</t>
    <phoneticPr fontId="2" type="noConversion"/>
  </si>
  <si>
    <t>Europol이 주도한 Carding Action 2020 작전에서 이탈리아, 헝가리, 영국 경찰이 협력해 다크웹 시장에서 신용카드 정보 거래를 차단하고, 9만 건의 신용카드 정보를 분석해 약 4,800만 달러(4,000만 유로)의 피해를 방지하였다.</t>
    <phoneticPr fontId="2" type="noConversion"/>
  </si>
  <si>
    <t>https://hackread.com/authorities-disrupt-dark-web-credit-card-trading-scam/</t>
  </si>
  <si>
    <t>Operation Falcon</t>
    <phoneticPr fontId="2" type="noConversion"/>
  </si>
  <si>
    <t>피싱, 스팸 이메일 사기, 악성코드유포(AgentTesla, Loki, Azorult, Spartan, nanocore, Remcos 등), 신분 사칭, 불법 자금 이체, 데이터 유출, 스파이웨어 및 원격 접속 트로이목마 사용</t>
  </si>
  <si>
    <t>나이지리아 경찰(Nigeria Police Force), INTERPOL(사이버범죄 및 금융범죄 부서), Group-IB, INTERPOL National Central Bureau(Abuja)</t>
    <phoneticPr fontId="2" type="noConversion"/>
  </si>
  <si>
    <t>나이지리아, 싱가포르(Group-IB 본사), 전 세계 150개국 이상(피해국)</t>
    <phoneticPr fontId="2" type="noConversion"/>
  </si>
  <si>
    <t>나이지리아 경찰이 INTERPOL과 Group-IB와 협력해 Operation Falcon 작전을 통해 전 세계 150개국 이상의 정부 및 민간 기업을 상대로 악성코드와 스팸 이메일을 유포하며 대규모 사기와 자금 이체를 저지른 나이지리아인 3명을 체포하였다.</t>
    <phoneticPr fontId="2" type="noConversion"/>
  </si>
  <si>
    <t>https://guardian.ng/news/nigerian-police-join-interpol-group-ib-to-arrest-three-suspected-tmt-fraudsters/#google_vignette</t>
  </si>
  <si>
    <t>Operation Goldfish Alpha</t>
    <phoneticPr fontId="2" type="noConversion"/>
  </si>
  <si>
    <t>봇넷, 피싱, 비즈니스 이메일 사기(BEC), 뱅킹 멀웨어, 랜섬웨어, 크립토재킹(암호화폐 채굴 악성코드)</t>
    <phoneticPr fontId="2" type="noConversion"/>
  </si>
  <si>
    <t>INTERPOL ASEAN Cybercrime Operations Desk, 각국 경찰, 민간 보안기업</t>
    <phoneticPr fontId="2" type="noConversion"/>
  </si>
  <si>
    <t>동남아시아(아세안) 국가(인도네시아, 말레이시아, 태국, 필리핀, 싱가포르, 베트남, 미얀마 등)</t>
    <phoneticPr fontId="2" type="noConversion"/>
  </si>
  <si>
    <t>INTERPOL이 주도한 Operation Goldfish Alpha와 Operation Night Fury 등 작전을 통해 동남아시아 국가들이 직면한 봇넷, 피싱, BEC, 뱅킹 멀웨어, 랜섬웨어, 크립토재킹 등 주요 사이버위협을 분석하고 대응하며, 국가 간 정보 공유와 공동 작전을 통해 범죄 네트워크를 효과적으로 해체하고 있다.</t>
    <phoneticPr fontId="2" type="noConversion"/>
  </si>
  <si>
    <t>https://www.interpol.int/News-and-Events/News/2020/INTERPOL-report-highlights-key-cyberthreats-in-Southeast-Asia</t>
  </si>
  <si>
    <t>Operation Nova</t>
    <phoneticPr fontId="2" type="noConversion"/>
  </si>
  <si>
    <t>랜섬웨어, 이스키밍(E-skimming), 스피어피싱, 계정 탈취, 불법 자금 이체, 신분 도용</t>
    <phoneticPr fontId="2" type="noConversion"/>
  </si>
  <si>
    <t>독일 Reutlingen 경찰본부, Europol, FBI, 프랑스 경찰, 네덜란드 경찰, 스위스 경찰</t>
    <phoneticPr fontId="2" type="noConversion"/>
  </si>
  <si>
    <t>독일, 미국, 프랑스, 네덜란드, 스위스</t>
    <phoneticPr fontId="2" type="noConversion"/>
  </si>
  <si>
    <t>독일 Reutlingen 경찰본부가 주도한 Operation Nova 작전에서 Europol, FBI, 프랑스, 네덜란드, 스위스 경찰이 협력해 전 세계 사이버범죄자들이 주로 사용하던 VPN 서비스 Safe-Inet의 서버와 도메인을 압수·차단하고, 랜섬웨어 등 주요 사이버범죄 인프라를 해체하였다.</t>
    <phoneticPr fontId="2" type="noConversion"/>
  </si>
  <si>
    <t>https://cyberscoop.com/safe-inet-takedown-fbi-interpol/</t>
  </si>
  <si>
    <t>Operation Zinger</t>
    <phoneticPr fontId="2" type="noConversion"/>
  </si>
  <si>
    <t>사이버범죄, 불법 데이터 보유, 신분도용, 사기, 해킹, 불법 금융거래</t>
    <phoneticPr fontId="2" type="noConversion"/>
  </si>
  <si>
    <t>호주 연방경찰(AFP), 웨스턴오스트레일리아(WA) 경찰, 뉴사우스웨일스(NSW) 경찰, 빅토리아(Victoria) 경찰, 퀸즐랜드 경찰, Joint Policing Cybercrime Coordination Centre(JPC3), FBI</t>
    <phoneticPr fontId="2" type="noConversion"/>
  </si>
  <si>
    <t>호주, 미국</t>
    <phoneticPr fontId="2" type="noConversion"/>
  </si>
  <si>
    <t>호주 연방경찰(AFP)이 미국 FBI와 협력해 2020년부터 ‘Operation Zinger’ 작전을 통해 불법 데이터 마켓플레이스 ‘Genesis Market’을 이용해 대형 물류기업 Toll Holdings 등에서 유출된 개인정보와 계정정보를 보유·활용한 용의자를 포함, 호주 전역에서 24건의 수색과 10명의 체포를 단행하며 신분도용 및 사기 등 사이버범죄 네트워크를 적발했다.</t>
    <phoneticPr fontId="2" type="noConversion"/>
  </si>
  <si>
    <t>https://thewest.com.au/news/court-justice/operation-zinger-alleged-cyber-criminal-had-details-from-major-logistics-company-police-say--c-11138447</t>
  </si>
  <si>
    <t>WashYourCyberHands</t>
    <phoneticPr fontId="2" type="noConversion"/>
  </si>
  <si>
    <t>데이터 수집 악성코드, 랜섬웨어, 온라인 사기, 피싱</t>
    <phoneticPr fontId="2" type="noConversion"/>
  </si>
  <si>
    <t>INTERPOL, 각국 법집행기관, 민간 보안기업, 국가 사이버보안기관, 온라인 정보공유 그룹</t>
    <phoneticPr fontId="2" type="noConversion"/>
  </si>
  <si>
    <t>전 세계(INTERPOL 회원국 194개국, 실제 캠페인 참여국은 다수)</t>
    <phoneticPr fontId="2" type="noConversion"/>
  </si>
  <si>
    <t>INTERPOL이 코로나19 팬데믹을 악용한 사이버범죄 증가에 대응해 전 세계적으로 #WashYourCyberHands 인식 캠페인을 진행하며, 데이터 수집 악성코드, 랜섬웨어, 온라인 사기, 피싱 등 주요 위협에 대한 경각심을 높이고 사이버위생 실천을 촉진하였다.</t>
    <phoneticPr fontId="2" type="noConversion"/>
  </si>
  <si>
    <t>https://www.interpol.int/News-and-Events/News/2020/INTERPOL-launches-awareness-campaign-on-COVID-19-cyberthreats</t>
  </si>
  <si>
    <t>Infraud 조직</t>
    <phoneticPr fontId="2" type="noConversion"/>
  </si>
  <si>
    <t>조직적 공갈, 신분 도용, 금융 사기, 불법 정보 유통</t>
    <phoneticPr fontId="2" type="noConversion"/>
  </si>
  <si>
    <t>미국 법무부, 국제 수사기관(호주, 영국, 프랑스, 이탈리아, 코소보, 세르비아 경찰 등), 태국 경찰</t>
    <phoneticPr fontId="2" type="noConversion"/>
  </si>
  <si>
    <t>미국, 러시아, 북마케도니아, 호주, 영국, 프랑스, 이탈리아, 코소보, 세르비아, 태국</t>
    <phoneticPr fontId="2" type="noConversion"/>
  </si>
  <si>
    <t>미국 법무부와 국제 수사기관이 Infraud라는 초국가적 사이버범죄 조직을 해체하고, 러시아와 북마케도니아 국적의 조직원을 포함해 36명을 기소하고 13명을 체포하며, 5억 6,800만 달러 이상의 피해를 입힌 신분 도용 및 금융 사기 사건에 대한 판결을 내렸다.</t>
    <phoneticPr fontId="2" type="noConversion"/>
  </si>
  <si>
    <t>https://www.rferl.org/a/us-sentences-cybercriminals-from-russia-and-north-macedonia-/31160664.html</t>
  </si>
  <si>
    <t>Operation DarkHunTOR</t>
    <phoneticPr fontId="2" type="noConversion"/>
  </si>
  <si>
    <t>마약, 불법 자금, 무기, 해킹, 신용카드 정보 거래 등 다크웹 불법거래</t>
    <phoneticPr fontId="2" type="noConversion"/>
  </si>
  <si>
    <t>유로폴(Europol), 유로저스트(Eurojust), 호주, 미국, 유럽 각국 경찰 및 수사기관</t>
    <phoneticPr fontId="2" type="noConversion"/>
  </si>
  <si>
    <t>호주, 불가리아, 프랑스, 독일, 이탈리아, 네덜란드, 스위스, 영국, 미국</t>
    <phoneticPr fontId="2" type="noConversion"/>
  </si>
  <si>
    <t>유로폴(Europol)과 유로저스트(Eurojust)가 주도하고 9개국 경찰이 협력한 Operation DarkHunTOR 작전에서 다크웹 불법거래에 연루된 150명 이상을 체포하고, 2,670만 유로(현금 및 가상화폐), 234kg의 마약, 45정의 총기 등을 압수했다.</t>
    <phoneticPr fontId="2" type="noConversion"/>
  </si>
  <si>
    <t>https://www.aljazeera.com/news/2021/10/26/police-arrest-150-people-globally-in-dark-web-sting-europol</t>
  </si>
  <si>
    <t>Operation Delilah</t>
    <phoneticPr fontId="2" type="noConversion"/>
  </si>
  <si>
    <t>피싱, 비즈니스 이메일 사기(BEC), 신분도용, 불법 이득 취득, 사이버범죄</t>
    <phoneticPr fontId="2" type="noConversion"/>
  </si>
  <si>
    <t>인터폴(INTERPOL), 나이지리아 경찰(Nigeria Police Force), Group-IB, Palo Alto Networks Unit 42, Trend Micro, CyberTOOLBELT, 호주, 캐나다, 미국 법집행기관</t>
    <phoneticPr fontId="2" type="noConversion"/>
  </si>
  <si>
    <t>나이지리아, 호주, 캐나다, 미국 및 기타(범죄 네트워크는 4대륙에 걸쳐 활동)</t>
    <phoneticPr fontId="2" type="noConversion"/>
  </si>
  <si>
    <t>인터폴과 나이지리아 경찰, 민간 보안기업들이 전 세계적으로 대규모 피싱 및 비즈니스 이메일 사기(BEC)를 일으킨 TMT(실버테리어) 사이버범죄 조직의 수장을 체포하는 데 성공한 ‘Operation Delilah’ 작전을 수행했다.</t>
    <phoneticPr fontId="2" type="noConversion"/>
  </si>
  <si>
    <t>https://www.group-ib.com/media-center/press-releases/interpol-gib-delilah/</t>
  </si>
  <si>
    <t>Operation HAECHI-II</t>
    <phoneticPr fontId="2" type="noConversion"/>
  </si>
  <si>
    <t>온라인사기(로맨스 사기, 투자 사기), 불법 온라인 도박, 자금 세탁 등 사이버 금융범죄</t>
    <phoneticPr fontId="2" type="noConversion"/>
  </si>
  <si>
    <t>인터폴(INTERPOL), 각국 전문 경찰 부서, 홍콩·마카오 경찰 등</t>
    <phoneticPr fontId="2" type="noConversion"/>
  </si>
  <si>
    <t>앵골라, 브루나이, 캄보디아, 콜롬비아, 중국, 인도, 인도네시아, 아일랜드, 일본, 한국, 라오스, 말레이시아, 몰디브, 필리핀, 루마니아, 싱가포르, 슬로베니아, 스페인, 태국, 베트남, 홍콩, 마카오</t>
    <phoneticPr fontId="2" type="noConversion"/>
  </si>
  <si>
    <t>인터폴(INTERPOL)이 주도한 Operation HAECHI-II 작전에서 20개국 이상과 홍콩·마카오가 협력하여 4개월간 온라인 사기, 불법 도박, 자금 세탁 등 사이버 금융범죄를 적발해 1,000명 이상을 체포하고 2,700만 달러 이상의 불법 자금을 차단했다.</t>
    <phoneticPr fontId="2" type="noConversion"/>
  </si>
  <si>
    <t>https://www.interpol.int/News-and-Events/News/2021/More-than-1-000-arrests-and-USD-27-million-intercepted-in-massive-financial-crime-crackdown</t>
  </si>
  <si>
    <t>Operation Ironside</t>
    <phoneticPr fontId="2" type="noConversion"/>
  </si>
  <si>
    <t>마약 밀수, 살인 주문, 불법 자금 세탁 등 조직범죄</t>
    <phoneticPr fontId="2" type="noConversion"/>
  </si>
  <si>
    <t>호주 연방경찰(AFP), 미국 연방수사국(FBI), 유로폴(Europol), 뉴질랜드 경찰</t>
    <phoneticPr fontId="2" type="noConversion"/>
  </si>
  <si>
    <t>호주, 미국, 유럽연합, 뉴질랜드</t>
    <phoneticPr fontId="2" type="noConversion"/>
  </si>
  <si>
    <t>호주 연방경찰(AFP)과 미국 연방수사국(FBI), 유로폴(Europol), 뉴질랜드 경찰이 공조하여, 범죄조직이 사용하던 암호화 메신저 앱(ANoM)을 감청하며 200명 이상을 체포하고, 마약, 불법 자금, 무기 등을 압수하는 대규모 작전을 성공적으로 마쳤다</t>
    <phoneticPr fontId="2" type="noConversion"/>
  </si>
  <si>
    <t>https://www.aljazeera.com/news/2021/6/8/australia-arrests-over-200-in-crackdown-of-underworld-messaging</t>
  </si>
  <si>
    <t>Operation Lyrebird</t>
    <phoneticPr fontId="2" type="noConversion"/>
  </si>
  <si>
    <t>피싱, 카딩, 웹사이트 디페이스먼트, 악성코드 개발, 신용카드 부정사용, 사기</t>
    <phoneticPr fontId="2" type="noConversion"/>
  </si>
  <si>
    <t>인터폴(INTERPOL), Group-IB(그룹아이비), 모로코 경찰</t>
    <phoneticPr fontId="2" type="noConversion"/>
  </si>
  <si>
    <t>프랑스, 모로코 등(피해 발생 및 조사·체포 관련 주요 국가, 실제 범죄는 다국적)</t>
    <phoneticPr fontId="2" type="noConversion"/>
  </si>
  <si>
    <t>Group-IB(그룹아이비)와 인터폴(INTERPOL)이 2년간 공동 조사한 Operation Lyrebird 작전에서, 프랑스 통신사와 주요 은행, 다국적 기업을 표적으로 한 피싱, 카딩, 웹사이트 디페이스먼트 등 다수의 사이버범죄를 저지른 용의자가 모로코 경찰에 의해 체포되었다.</t>
    <phoneticPr fontId="2" type="noConversion"/>
  </si>
  <si>
    <t>https://www.group-ib.com/media-center/press-releases/gib-interpol-lyrebird/</t>
  </si>
  <si>
    <t>Operation Morpheus</t>
    <phoneticPr fontId="2" type="noConversion"/>
  </si>
  <si>
    <t>불법 소프트웨어 유통, 사이버 침해, 랜섬웨어 유포, 악성코드유포, 데이터 절도, 불법 금융거래</t>
  </si>
  <si>
    <t>영국 국가범죄수사국(NCA), Europol, FBI, 호주 연방경찰(AFP), 캐나다 왕립기마경찰(RCMP), 독일 연방범죄수사청(BKA), 네덜란드 국립경찰(Politie), 폴란드 중앙사이버범죄국(Central Cybercrime Bureau), Fortra(코발트 스트라이크 개발사), BAE Systems Digital Intelligence, Trellix, Shadowserver, Spamhaus, Abuse CH 등 민간 파트너</t>
    <phoneticPr fontId="2" type="noConversion"/>
  </si>
  <si>
    <t>영국, 미국, 호주, 캐나다, 독일, 네덜란드, 폴란드 등 27개국</t>
    <phoneticPr fontId="2" type="noConversion"/>
  </si>
  <si>
    <t>영국 국가범죄수사국(NCA)이 주도한 ‘Operation Morpheus’ 작전에서 Europol, FBI 등 국제 파트너와 민간 기업이 협력해 불법 코발트 스트라이크 소프트웨어를 적발하여 690개 인스턴스를 27개국 129개 ISP에서 차단하고, 593개를 해체하며, 대규모 사이버범죄 인프라에 중대한 타격을 입혔다.</t>
    <phoneticPr fontId="2" type="noConversion"/>
  </si>
  <si>
    <t>https://www.nationalcrimeagency.gov.uk/news/national-crime-agency-leads-international-operation-to-degrade-illegal-versions-of-cobalt-strike</t>
  </si>
  <si>
    <t>Operation Secreto</t>
    <phoneticPr fontId="2" type="noConversion"/>
  </si>
  <si>
    <t>카드사기, 신용카드 부정사용, 불법 자금 세탁</t>
    <phoneticPr fontId="2" type="noConversion"/>
  </si>
  <si>
    <t>스페인 국가경찰, 미국 비밀경찰(US Secret Service), 오스트리아 경찰, 덴마크 경찰, 그리스 경찰, 미국 법무부(US Department of Justice), 미국 금융범죄단속네트워크(FinCEN), 유로폴(Europol), 유로저스트(Eurojust)</t>
    <phoneticPr fontId="2" type="noConversion"/>
  </si>
  <si>
    <t>스페인, 미국, 오스트리아, 덴마크, 그리스</t>
    <phoneticPr fontId="2" type="noConversion"/>
  </si>
  <si>
    <t>스페인 국가경찰과 미국 비밀경찰이 주도하고 유로폴(Europol)이 조정한 Operation Secreto 작전에서, 미국 은행을 표적으로 한 신용카드 부정사용 및 자금 세탁 조직이 해체되며 105명이 체포되고, 1,200만 유로 이상의 피해가 발생한 것으로 드러났다</t>
    <phoneticPr fontId="2" type="noConversion"/>
  </si>
  <si>
    <t>https://www.europol.europa.eu/media-press/newsroom/news/105-arrested-for-stealing-over-%E2%82%AC12-million-us-based-banks</t>
  </si>
  <si>
    <t>Operation Trojan Shield</t>
    <phoneticPr fontId="2" type="noConversion"/>
  </si>
  <si>
    <t>마약 밀수, 불법 자금 세탁, 조직범죄, 무기 밀수 등</t>
    <phoneticPr fontId="2" type="noConversion"/>
  </si>
  <si>
    <t>호주 연방경찰(AFP), 미국 연방수사국(FBI), 유로폴(Europol), 16개국(일부 20개국 언급) 경찰 및 수사기관</t>
    <phoneticPr fontId="2" type="noConversion"/>
  </si>
  <si>
    <t>호주, 미국, 영국, 뉴질랜드, 독일, 프랑스, 네덜란드, 스웨덴, 이탈리아, 오스트리아, 덴마크, 벨기에, 에스토니아, 리투아니아, 라트비아, 폴란드, 스페인, 핀란드 등(유럽연합 및 기타 국가 포함, 정확히는 16~20개국)</t>
    <phoneticPr fontId="2" type="noConversion"/>
  </si>
  <si>
    <t>호주 연방경찰(AFP)과 미국 연방수사국(FBI), 유로폴(Europol) 등 16개국 이상의 수사기관이 3년간 공조하여, 범죄조직이 사용하던 암호화 메신저 앱(AN0M)을 개발·배포해 메시지를 감청하고, 800명 이상의 용의자를 체포하며, 마약, 무기, 불법 자금 등을 압수하는 대규모 작전을 성공적으로 마쳤다.</t>
    <phoneticPr fontId="2" type="noConversion"/>
  </si>
  <si>
    <t>https://www.welivesecurity.com/2021/06/08/hundreds-arrested-tricked-using-fbi-run-chat-app/</t>
  </si>
  <si>
    <t>2024.01.01.</t>
    <phoneticPr fontId="2" type="noConversion"/>
  </si>
  <si>
    <t>2024.12.31.</t>
    <phoneticPr fontId="2" type="noConversion"/>
  </si>
  <si>
    <t>Africa Cyber Surge Operation</t>
    <phoneticPr fontId="2" type="noConversion"/>
  </si>
  <si>
    <t>사이버범죄(랜섬웨어, 피싱, 비즈니스 이메일 사기, 온라인 사기, 악성코드유포, 데이터 도용 등)</t>
  </si>
  <si>
    <t>인터폴(INTERPOL), AFRIPOL, 각국 경찰 및 수사기관, 민간 보안기업(Group-IB, Kaspersky, Trend Micro 등)</t>
    <phoneticPr fontId="2" type="noConversion"/>
  </si>
  <si>
    <t>아프리카 25개국</t>
    <phoneticPr fontId="2" type="noConversion"/>
  </si>
  <si>
    <t>인터폴이 주도한 ‘Africa Cyber Surge Operation’에서 아프리카 25개국 법집행기관과 민간 보안기업이 협력해 200,000개 이상의 악성 인프라를 해체하고, 다양한 사이버범죄 위협을 식별·차단하며 지역 사이버보안 역량을 강화했다.</t>
    <phoneticPr fontId="2" type="noConversion"/>
  </si>
  <si>
    <t>https://www.interpol.int/News-and-Events/News/2022/Operation-across-Africa-identifies-cyber-criminals-and-at-risk-online-infrastructure</t>
  </si>
  <si>
    <t>Operation Chakra</t>
    <phoneticPr fontId="2" type="noConversion"/>
  </si>
  <si>
    <t>사이버범죄(국제적 조직 범죄, 피싱, 온라인 사기, 신용카드 사기 등)</t>
    <phoneticPr fontId="2" type="noConversion"/>
  </si>
  <si>
    <t>인도 중앙수사국(CBI), 델리, 펀자브, 라자스탄, 아삼, 카르나타카, 안다만, 하리아나 경찰, 미국 연방수사국(FBI), 인터폴(INTERPOL), 캐나다 경찰, 오스트레일리아 경찰, 민간기업</t>
    <phoneticPr fontId="2" type="noConversion"/>
  </si>
  <si>
    <t>인도, 미국, 캐나다, 오스트레일리아</t>
    <phoneticPr fontId="2" type="noConversion"/>
  </si>
  <si>
    <t>인도 중앙수사국(CBI)이 미국, 캐나다, 오스트레일리아 등 국제 기관과 협력하여 라자스탄 등 8개 주에서 ‘Operation Chakra’ 작전을 펼쳐 국제 사이버범죄 조직의 인프라를 해체하고, 115개 장소를 압수수색하며 국제적 조직 사이버범죄자들을 적발했다.</t>
    <phoneticPr fontId="2" type="noConversion"/>
  </si>
  <si>
    <t>https://timesofindia.indiatimes.com/city/jaipur/cbis-op-chakra-to-battle-cybercrime-gangs-in-state/articleshow/94654273.cms</t>
  </si>
  <si>
    <t>Operation Chakra-III</t>
    <phoneticPr fontId="2" type="noConversion"/>
  </si>
  <si>
    <t>컴퓨터사기, 불법 금융거래, 신분도용(기술지원 요원 사칭), 암호화폐 및 금괴를 이용한 자금 세탁, 조직범죄, 컴퓨터 및 은행계좌 무단 접근</t>
  </si>
  <si>
    <t>CBI(중앙수사국), FBI(미국 연방수사국), INTERPOL(인터폴), 인도 각 지역 경찰, 각국 법집행기관(피해자 및 용의자 국적에 따라 다수 협력)</t>
    <phoneticPr fontId="2" type="noConversion"/>
  </si>
  <si>
    <t>인도, 미국, 전 세계(피해자 및 용의자 국적 다양)</t>
    <phoneticPr fontId="2" type="noConversion"/>
  </si>
  <si>
    <t>CBI와 FBI가 ‘Operation Chakra-III’ 작전을 통해 뭄바이와 콜카타 등 7곳에서 동시 압수수색을 실시해 미국인 등 외국인을 상대로 기술지원 요원을 사칭해 컴퓨터와 은행계좌에 무단 접근한 후 453,953달러를 암호화폐 및 금괴로 세탁한 국제 사이버범죄 네트워크를 해체하고, 주범을 체포하며 대량의 금괴와 현금, 증거물을 압수했다.</t>
    <phoneticPr fontId="2" type="noConversion"/>
  </si>
  <si>
    <t>https://www.freepressjournal.in/mumbai/operation-chakra-iii-cbi-fbi-dismantle-cybercrime-network-in-mumbai-kolkata-mastermind-arrested</t>
  </si>
  <si>
    <t>Operation Discovery</t>
    <phoneticPr fontId="2" type="noConversion"/>
  </si>
  <si>
    <t>사이버범죄, 신분도용, 경제적·성적 갈취, 불법 자금세탁, 불법 무기 소지, 불법 마약 유통, 공무원 사칭(미국 FBI 요원 사칭 포함)</t>
    <phoneticPr fontId="2" type="noConversion"/>
  </si>
  <si>
    <t>도미니카공화국 검찰총장실, 도미니카공화국 경찰, 도미니카공화국 고위기술범죄특별검찰, 도미니카공화국 자금세탁 및 테러자금조달 특별검찰, 산티아고 검찰, FBI, 미국 국토안보부 수사국(HSI)</t>
    <phoneticPr fontId="2" type="noConversion"/>
  </si>
  <si>
    <t>도미니카공화국 검찰과 경찰이 FBI 및 미국 국토안보부 수사국과 협력해 ‘Operation Discovery’ 작전을 통해 신분도용, 경제적·성적 갈취, 불법 자금세탁 등으로 수백 명의 미국인을 사기한 초국적 사이버범죄 네트워크를 해체하고, 70여 명을 체포하며 대규모 범죄조직을 무력화했다.</t>
    <phoneticPr fontId="2" type="noConversion"/>
  </si>
  <si>
    <t>https://dialogo-americas.com/articles/operation-discovery-dismantles-cybercrime-network-in-the-dominican-republic/</t>
  </si>
  <si>
    <t>Operation Fox Hunt 2</t>
    <phoneticPr fontId="2" type="noConversion"/>
  </si>
  <si>
    <t>사이버범죄, 금융사기, 자금세탁, 해킹, 사기, 신분도용, 은행사기, 불법 소득 획득</t>
    <phoneticPr fontId="2" type="noConversion"/>
  </si>
  <si>
    <t>두바이경찰, 미국 연방수사국(FBI), 미국 법무부, 두바이 검찰</t>
    <phoneticPr fontId="2" type="noConversion"/>
  </si>
  <si>
    <t>아랍에미리트(두바이), 미국, 나이지리아(용의자 국적), 유럽(피해국 포함)</t>
    <phoneticPr fontId="2" type="noConversion"/>
  </si>
  <si>
    <t>두바이경찰이 ‘Operation Fox Hunt 2’ 작전으로 나이지리아 출신 인플루언서 Hushpuppi(본명 Ramon Abbas)를 체포해 미국으로 인도하였으며, 미국 법원은 그가 주도한 다국적 사이버범죄 조직의 금융사기, 자금세탁, 신분도용 등 혐의로 11년형을 선고했다.</t>
    <phoneticPr fontId="2" type="noConversion"/>
  </si>
  <si>
    <t>https://www.arabianbusiness.com/culture-society/dubai-arrested-nigerian-influencer-hushpuppi-sentenced-to-11-years-jail</t>
  </si>
  <si>
    <t>Operation Jackal</t>
    <phoneticPr fontId="2" type="noConversion"/>
  </si>
  <si>
    <t>사이버범죄, 온라인 금융사기, 신분도용, 사기, 자금세탁, 마약 및 인신매매 등(Black Axe와 유사 조직이 관련된 다양한 범죄)</t>
    <phoneticPr fontId="2" type="noConversion"/>
  </si>
  <si>
    <t>인터폴(Interpol), Interpol Financial Crime and Anti-Corruption Centre(IFCACC), 각국 법집행기관(경찰, 수사기관 등)</t>
    <phoneticPr fontId="2" type="noConversion"/>
  </si>
  <si>
    <t>나이지리아, 남아프리카공화국, 이탈리아 등 14개국(아시아, 유럽, 북미, 남미 등 4대륙)</t>
    <phoneticPr fontId="2" type="noConversion"/>
  </si>
  <si>
    <t>인터폴이 주도한 ‘Operation Jackal’ 작전에서 나이지리아의 주요 범죄조직 Black Axe와 연계된 75명을 14개국에서 체포하고, 49곳을 압수수색하며 120만 유로를 압류하는 등 국제 사이버범죄 조직에 강력한 타격을 가했다.</t>
    <phoneticPr fontId="2" type="noConversion"/>
  </si>
  <si>
    <t>https://www.thecable.ng/interpol-arrests-75-cybercrime-suspects-linked-to-black-axe/</t>
  </si>
  <si>
    <t>Operation Killer Bee</t>
    <phoneticPr fontId="2" type="noConversion"/>
  </si>
  <si>
    <t>사이버범죄, 온라인 사기, 금융사기, 비즈니스 이메일 사기(BEC), 불법 자금 유통, 신용정보 도용, 악성코드(Agent Tesla) 유포 및 사용</t>
    <phoneticPr fontId="2" type="noConversion"/>
  </si>
  <si>
    <t>인터폴(INTERPOL), 나이지리아 경제범죄수사위원회(EFCC), ASEAN 사이버범죄작전데스크(Asean Cybercrime Operations Desk), 싱가포르 정부, Trend Micro 등 민간 보안기업</t>
    <phoneticPr fontId="2" type="noConversion"/>
  </si>
  <si>
    <t>브루나이, 캄보디아, 인도네시아, 라오스, 말레이시아, 미얀마, 나이지리아, 필리핀, 싱가포르, 태국, 베트남</t>
    <phoneticPr fontId="2" type="noConversion"/>
  </si>
  <si>
    <t>인터폴이 주도한 ‘Operation Killer Bee’ 작전에서 나이지리아 경제범죄수사위원회(EFCC)와 동남아시아 10개국 법집행기관이 협력해 Agent Tesla 악성코드를 이용한 금융사기 및 비즈니스 이메일 사기(BEC) 혐의로 나이지리아인 3명을 체포하고, 국제 사이버범죄 조직의 위협을 차단했다.</t>
    <phoneticPr fontId="2" type="noConversion"/>
  </si>
  <si>
    <t>https://www.interpol.int/News-and-Events/News/2022/Online-scamming-fraud-three-Nigerians-arrested-in-INTERPOL-Operation-Killer-Bee</t>
  </si>
  <si>
    <t>Operation Kraken</t>
    <phoneticPr fontId="2" type="noConversion"/>
  </si>
  <si>
    <t>마약 밀매, 자금세탁, 조직적 범죄, 암호화 통신 플랫폼 불법 운영, 살인 주문 및 폭력 협박, 불법 무기 소지</t>
    <phoneticPr fontId="2" type="noConversion"/>
  </si>
  <si>
    <t>Europol, 호주 연방경찰(AFP), 아일랜드 경찰(An Garda Síochána), 이탈리아 경찰, 캐나다 경찰, 프랑스 경찰, 아이슬란드 경찰, 네덜란드 경찰, 스웨덴 경찰, 미국 법집행기관</t>
    <phoneticPr fontId="2" type="noConversion"/>
  </si>
  <si>
    <t>호주, 캐나다, 프랑스, 아이슬란드, 아일랜드, 이탈리아, 네덜란드, 스웨덴, 미국</t>
    <phoneticPr fontId="2" type="noConversion"/>
  </si>
  <si>
    <t>Europol과 9개국 법집행기관이 협력한 ‘Operation Kraken’ 작전에서 암호화 통신 플랫폼 ‘Ghost’를 해체하고, 마약 밀매 및 자금세탁 등 조직적 범죄에 관여한 51명을 체포하며, 무기·마약·현금 등 대량의 증거를 압수해 전 세계 조직범죄 네트워크에 중대한 타격을 입혔다.</t>
    <phoneticPr fontId="2" type="noConversion"/>
  </si>
  <si>
    <t>https://www.reuters.com/technology/cybersecurity/ghost-cybercrime-platform-dismantled-global-operation-51-arrested-2024-09-18/</t>
  </si>
  <si>
    <t>Africa Cyber Surge II</t>
    <phoneticPr fontId="2" type="noConversion"/>
  </si>
  <si>
    <t>사이버범죄, 온라인 사기, 피싱, 비즈니스 이메일 침해(BEC), 익스터션(협박), 스캠, 불법 금융거래, 메시징 플랫폼 사기, 예술품 사기, 머니 뮬 활동</t>
    <phoneticPr fontId="2" type="noConversion"/>
  </si>
  <si>
    <t>인터폴(INTERPOL), 아프리폴(AFRIPOL), 아프리카 25개국 경찰 및 수사기관, Group-IB, Trend Micro, Kaspersky, Coinbase 등 민간 기업</t>
    <phoneticPr fontId="2" type="noConversion"/>
  </si>
  <si>
    <t>카메룬, 나이지리아, 모리셔스, 감비아, 케냐 등 아프리카 25개국</t>
    <phoneticPr fontId="2" type="noConversion"/>
  </si>
  <si>
    <t>인터폴과 아프리폴이 주도하고 아프리카 25개국 법집행기관 및 민간 기업이 협력한 ‘Africa Cyber Surge II’ 작전에서 14명의 사이버범죄 용의자를 체포하고, 2만 개 이상의 사이버범죄 네트워크와 1,400여 개의 피싱 사이트, 수백 개의 악성 IP 및 봇넷을 무력화하며, 4천만 달러 이상의 금융 피해와 관련된 조직적 범죄를 적발했다.</t>
    <phoneticPr fontId="2" type="noConversion"/>
  </si>
  <si>
    <t>https://therecord.media/africa-cyber-surge-14-arrests-interpol</t>
  </si>
  <si>
    <t>HAECHI IV</t>
    <phoneticPr fontId="2" type="noConversion"/>
  </si>
  <si>
    <t>사이버범죄, 투자사기, 로맨스사기, 불법 온라인 도박 관련 자금세탁, 온라인 섹스토션, 보이스피싱, 비즈니스 이메일 사기(BEC), 이커머스 사기, 암호화폐 사기, 불법 마약, 악성코드, 가짜 문서 유통(Kingdom Market 관련)</t>
    <phoneticPr fontId="2" type="noConversion"/>
  </si>
  <si>
    <t>인터폴(INTERPOL), 한국 경찰, 필리핀 경찰, 미국 법무부(DOJ), FBI, 독일 연방경찰, 스위스 경찰, 우크라이나 경찰, 몰도바 경찰, 호주 경찰 등</t>
    <phoneticPr fontId="2" type="noConversion"/>
  </si>
  <si>
    <t>한국, 필리핀, 미국, 독일, 스위스, 우크라이나, 몰도바, 호주, 아시아·유럽·아프리카 34개국(한글로는 ‘한국, 필리핀, 미국, 독일, 스위스, 우크라이나, 몰도바, 호주, 아시아·유럽·아프리카 34개국’)</t>
    <phoneticPr fontId="2" type="noConversion"/>
  </si>
  <si>
    <t>인터폴이 주도한 HAECHI IV 작전에서 34개국 법집행기관이 협력해 투자사기, 로맨스사기, 자금세탁, 보이스피싱, 비즈니스 이메일 사기(BEC), 이커머스 사기 등 다양한 금융 사이버범죄로 약 3,500명의 용의자를 체포하고, 3억 달러(현금 및 가상자산)를 압수했다.
이번 작전에서 82,112개 은행계좌와 367개 가상자산계좌가 차단되었으며, 필리핀과 한국 경찰이 마닐라에서 온라인 도박 인물을 체포했다.
독일은 미국, 스위스, 우크라이나, 몰도바와 협력해 다크웹 마켓플레이스 ‘Kingdom Market’을 해체하고, 마약, 악성코드, 가짜 문서 등 불법상품 유통을 차단했다.
미국 법무부와 FBI, 호주 당국은 랜섬웨어 서비스 ‘BlackCat’(ALPHV) 인프라를 압수하는 등 국제 사이버범죄 대응을 확대했다.
인터폴은 신종 암호화폐 투자사기(‘rug pull’ 사기), 생성형 AI와 딥페이크를 활용한 신분 사칭 사기 등 신규 위협에 대해 각국에 경고했다.</t>
    <phoneticPr fontId="2" type="noConversion"/>
  </si>
  <si>
    <t>https://securityboulevard.com/2023/12/international-investigations-target-financial-cybercrime/</t>
  </si>
  <si>
    <t>Operation Chakra-II</t>
    <phoneticPr fontId="2" type="noConversion"/>
  </si>
  <si>
    <t>사이버범죄, 조직적 금융범죄, 암호화폐 사기, 기술지원 사기(Tech Support Fraud), 신분도용, 불법 콜센터 운영, 불법 금융거래</t>
    <phoneticPr fontId="2" type="noConversion"/>
  </si>
  <si>
    <t>인도 중앙수사국(CBI), 인도 내 각 지역 경찰, Microsoft, Amazon, 미국 연방수사국(FBI), Interpol(국제형사경찰기구), 영국 국가범죄수사국(NCA), 싱가포르 경찰, 독일 연방범죄청(BKA)</t>
    <phoneticPr fontId="2" type="noConversion"/>
  </si>
  <si>
    <t>인도, 미국, 영국, 싱가포르, 독일</t>
    <phoneticPr fontId="2" type="noConversion"/>
  </si>
  <si>
    <t>인도 중앙수사국(CBI)이 Microsoft, Amazon, 미국 FBI, Interpol 등 국내외 기관과 협력하여 ‘Operation Chakra-II’ 작전을 통해 전국 76곳을 동시에 수색하며, 암호화폐 사기 및 기술지원 사기 등 조직적 금융 사이버범죄 네트워크의 인프라를 무력화하고 다수의 전자기기와 증거를 압수했다.</t>
    <phoneticPr fontId="2" type="noConversion"/>
  </si>
  <si>
    <t>https://www.newsbytesapp.com/news/india/operation-chakra-ii-cbi-launches-crackdown-on-cybercrime-gangs/story</t>
  </si>
  <si>
    <t>Operation Contender 2.0</t>
    <phoneticPr fontId="2" type="noConversion"/>
  </si>
  <si>
    <t>피싱, 신분도용, 불법 금융거래, 데이터 절도, 사기, 계정 정보 유출, 불법 서버 운영, 로맨스 사기, 비즈니스 이메일 침해(BEC)</t>
    <phoneticPr fontId="2" type="noConversion"/>
  </si>
  <si>
    <t>INTERPOL, 코트디부아르 사이버범죄팀(Côte d’Ivoire Cyber Unit), 스위스 경찰, 나이지리아 경찰, INTERPOL AFJOC(아프리카 합동 사이버범죄 대응팀), Trend Micro, Group-IB</t>
    <phoneticPr fontId="2" type="noConversion"/>
  </si>
  <si>
    <t>코트디부아르, 스위스, 나이지리아</t>
    <phoneticPr fontId="2" type="noConversion"/>
  </si>
  <si>
    <t>INTERPOL과 코트디부아르, 스위스, 나이지리아 법집행기관이 협력한 ‘Operation Contender 2.0’ 작전에서 대규모 피싱 및 로맨스 사기 조직을 적발하여 코트디부아르에서 8명을 체포하고, 스위스 시민을 대상으로 한 140만 달러 이상의 금융 피해를 확인하며, 대규모 사이버범죄 네트워크에 중대한 타격을 입혔다.</t>
    <phoneticPr fontId="2" type="noConversion"/>
  </si>
  <si>
    <t>https://www.interpol.int/News-and-Events/News/2024/Arrests-in-international-operation-targeting-cybercriminals-in-West-Africa</t>
  </si>
  <si>
    <t>Operation Cookie Monster</t>
    <phoneticPr fontId="2" type="noConversion"/>
  </si>
  <si>
    <t>사이버범죄, 신분도용, 불법 데이터 판매, 악성코드유포, 랜섬웨어, 불법 금융거래, 서버 침입 및 정보탈취</t>
  </si>
  <si>
    <t>미국 연방수사국(FBI), 미국 법무부(DOJ), 영국 국가범죄수사국(NCA), 호주 연방경찰(AFP), 캐나다 경찰, 독일 경찰, 네덜란드 경찰, 스웨덴 경찰, 유로폴(Europol), 유럽 각국 경찰 및 수사기관</t>
    <phoneticPr fontId="2" type="noConversion"/>
  </si>
  <si>
    <t>미국, 영국, 호주, 캐나다, 독일, 네덜란드, 스웨덴, 유럽 10개국 이상</t>
    <phoneticPr fontId="2" type="noConversion"/>
  </si>
  <si>
    <t>미국 FBI가 주도한 ‘Operation Cookie Monster’ 작전에서 영국, 호주, 캐나다, 독일, 네덜란드, 스웨덴 등 10개국 이상의 법집행기관이 협력해 세계 최대 규모의 신분도용 및 불법 데이터 판매 시장 ‘Genesis Market’을 폐쇄했다.
전 세계적으로 120명 이상의 용의자가 체포되고, 200건 이상의 수색이 이루어졌으며, 59,000명 이상의 시장 이용자 정보가 확인되었다.
Genesis Market은 2017년부터 운영되며, 해킹된 컴퓨터의 로그인 정보, 쿠키, 디지털 지문 등 다양한 개인정보를 판매해 신분도용, 랜섬웨어, 불법 금융거래 등 다양한 사이버범죄에 이용되었다.
FBI는 피해자 알림을 위해 수백만 건의 이메일 주소와 비밀번호를 ‘Have I Been Pwned’ 등 보안 서비스에 제공했다.
이번 작전은 국제 협력의 중요성을 보여주며, 사이버범죄 대응에 있어 법집행기관 간 정보공유와 공동 대응의 성공적 사례로 평가받고 있다.</t>
    <phoneticPr fontId="2" type="noConversion"/>
  </si>
  <si>
    <t>https://www.9news.com.au/world/fbi-seizes-popular-cybercrime-forum-genesis-market-used-for-large-scale-identity-theft/0e7d2fab-5491-4ece-8520-3232aa43f0c0</t>
  </si>
  <si>
    <t>Operation Endgame1</t>
    <phoneticPr fontId="2" type="noConversion"/>
  </si>
  <si>
    <t>악성코드유포, 랜섬웨어, 트로이목마, 정보 탈취, 사기, 데이터 침해, 신분 도용, 불법 자금 이체</t>
  </si>
  <si>
    <t>미국 법무부(DOJ), FBI, Europol, 독일 연방경찰, 네덜란드 경찰, 호주 연방경찰, 루마니아 경찰, CrowdStrike, ESET, Proofpoint, Team Cymru, ZScaler</t>
    <phoneticPr fontId="2" type="noConversion"/>
  </si>
  <si>
    <t>미국, 독일, 네덜란드, 호주, 루마니아</t>
    <phoneticPr fontId="2" type="noConversion"/>
  </si>
  <si>
    <t>미국, 유럽, 호주 등 국제 법집행기관이 Operation Endgame의 일환으로 Cryptor 악성코드 명령제어 서버를 압류하고, 관련 용의자를 체포하며, 전 세계적으로 피해를 야기한 악성코드 네트워크를 해체하였다.</t>
    <phoneticPr fontId="2" type="noConversion"/>
  </si>
  <si>
    <t>https://therecord.media/international-operation-takes-down-cryptor</t>
  </si>
  <si>
    <t>Operation HAECHI III</t>
    <phoneticPr fontId="2" type="noConversion"/>
  </si>
  <si>
    <t>온라인 사기, 보이스 피싱, 연애사기, 섹스토션(성적 협박), 투자사기, 불법 온라인 도박 관련 자금세탁 등</t>
    <phoneticPr fontId="2" type="noConversion"/>
  </si>
  <si>
    <t>인터폴(INTERPOL), 각국 법집행기관(최소 30개국 이상의 경찰, 수사기관), 인터폴 내셔널 센트럴 뷰로(한국, 인도, 호주 등)</t>
    <phoneticPr fontId="2" type="noConversion"/>
  </si>
  <si>
    <t>한국, 인도, 호주, 아일랜드, 그리스, 이탈리아 등 최소 30개국(아시아, 유럽, 북미, 남미, 아프리카, 오세아니아 전역)</t>
    <phoneticPr fontId="2" type="noConversion"/>
  </si>
  <si>
    <t>인터폴 주도 하에 전 세계 30개국 이상의 법집행기관이 5개월간 ‘Operation HAECHI III’을 펼쳐 975명의 사이버범죄자를 체포하고, 1억 3천만 달러 상당의 자산을 회수하며 온라인 사기, 보이스 피싱, 연애사기, 섹스토션 등 다양한 사이버범죄를 적발했다.</t>
    <phoneticPr fontId="2" type="noConversion"/>
  </si>
  <si>
    <t>https://www.cpomagazine.com/cyber-security/interpol-arrested-almost-1000-cybercriminals-and-recovered-130-million-in-global-operation/</t>
  </si>
  <si>
    <t>Operation Nervone</t>
    <phoneticPr fontId="2" type="noConversion"/>
  </si>
  <si>
    <t>사이버범죄, 비즈니스 이메일 침해(BEC), 피싱, 악성코드유포, 불법 금융거래, 시스템 침입, 데이터 절도, 자금세탁</t>
  </si>
  <si>
    <t>INTERPOL, AFRIPOL, Group-IB, Orange S.A., 코트디부아르 정보기술 및 디지털흔적분석국(DITT), 미국 비밀경찰(US Secret Service), Booz Allen Hamilton DarkLabs</t>
    <phoneticPr fontId="2" type="noConversion"/>
  </si>
  <si>
    <t>코트디부아르, 프랑스, 미국, 영국, 독일, 아프리카 15개국 피해국, 아시아, 라틴아메리카 등</t>
    <phoneticPr fontId="2" type="noConversion"/>
  </si>
  <si>
    <t>INTERPOL이 주도하고 Group-IB 및 Orange 등이 협력한 ‘Operation Nervone’ 작전에서, 코트디부아르 당국이 프랑스어권 사이버범죄 조직 OPERA1ER의 주요 용의자를 체포하며, 15개국에서 30건 이상의 금융기관 및 통신사 공격과 최대 3,000만 달러의 피해를 낸 범죄 네트워크를 무력화했다.</t>
    <phoneticPr fontId="2" type="noConversion"/>
  </si>
  <si>
    <t>https://www.group-ib.com/media-center/press-releases/operation-nervone/</t>
  </si>
  <si>
    <t>Operation Synergia</t>
    <phoneticPr fontId="2" type="noConversion"/>
  </si>
  <si>
    <t>피싱, 악성코드, 랜섬웨어, 불법 금융거래, 데이터 절도, 계정 정보 유출, 불법 서버 운영</t>
    <phoneticPr fontId="2" type="noConversion"/>
  </si>
  <si>
    <t>INTERPOL, Kaspersky, INTERPOL Gateway 프로젝트 파트너(각국 법집행기관, 민간 사이버보안 기업)</t>
    <phoneticPr fontId="2" type="noConversion"/>
  </si>
  <si>
    <t>INTERPOL 회원국 50개국 이상</t>
    <phoneticPr fontId="2" type="noConversion"/>
  </si>
  <si>
    <t>INTERPOL과 Kaspersky 등 민간 파트너가 협력한 ‘Operation Synergia’ 작전에서 50개국 이상의 법집행기관이 피싱, 악성코드, 랜섬웨어 등 범죄 인프라를 무력화하고, 1,300여 개의 의심 서버를 확인해 그 중 70%를 조치하며 31명을 체포하는 등 대규모 국제 사이버범죄 네트워크에 타격을 입혔다.</t>
    <phoneticPr fontId="2" type="noConversion"/>
  </si>
  <si>
    <t>https://www.kaspersky.com/about/press-releases/kaspersky-shares-cyberthreat-data-with-interpol-in-operation-to-disrupt-transnational-cybercrime</t>
  </si>
  <si>
    <t>Qakbot</t>
    <phoneticPr fontId="2" type="noConversion"/>
  </si>
  <si>
    <t>사이버범죄, 악성코드(Qakbot) 유포, 랜섬웨어, 데이터 도용, 불법 금융거래</t>
    <phoneticPr fontId="2" type="noConversion"/>
  </si>
  <si>
    <t>미국 법무부(DOJ), FBI, 네덜란드 경찰, 프랑스 경찰, 독일 경찰, 루마니아 경찰, 라트비아 경찰, 유로폴(Europol), 미국 사이버보안기업 등</t>
    <phoneticPr fontId="2" type="noConversion"/>
  </si>
  <si>
    <t>미국, 네덜란드, 프랑스, 독일, 루마니아, 라트비아</t>
    <phoneticPr fontId="2" type="noConversion"/>
  </si>
  <si>
    <t>미국 법무부와 FBI, 네덜란드 등 6개국 경찰이 협력해 Qakbot 악성코드의 서버 22대를 네덜란드에서 압수하고, 랜섬웨어 및 데이터 도용 등 전 세계적 사이버범죄 인프라를 해체하는 데 성공했다.</t>
    <phoneticPr fontId="2" type="noConversion"/>
  </si>
  <si>
    <t>https://www.curacaochronicle.com/post/world/international-operation-dismantles-qakbot-malware-22-servers-seized-in-the-netherlands/</t>
  </si>
  <si>
    <t>Operation Africa Cyber Surge II</t>
    <phoneticPr fontId="2" type="noConversion"/>
  </si>
  <si>
    <t>사이버범죄(랜섬웨어, 뱅킹 트로이목마, 스파이웨어, 데이터 유출, DDoS공격), 피싱, 비즈니스 이메일 사기(BEC), 신용카드 사기, 테러 자금 조달, 자금세탁, 조직범죄</t>
  </si>
  <si>
    <t>Interpol(인터폴), 각국 법집행기관(경찰, 수사기관), Africa Joint Cybercrime Operations Desk(AFJOC), Group-IB, Trend Micro, Kaspersky, Coinbase, World Economic Forum’s Cybercrime Atlas 파트너, 인터넷 서비스 제공업체(ISP)</t>
    <phoneticPr fontId="2" type="noConversion"/>
  </si>
  <si>
    <t>나이지리아, 남아프리카공화국, 케냐, 가나, 모잠비크, 카메룬, 알제리, 앙골라, 베냉, 코트디부아르, 콩고민주공화국, 가봉, 모리셔스, 르완다, 세네갈, 탄자니아, 튀니지, 잠비아, 짐바브웨 등 아프리카 25개국</t>
    <phoneticPr fontId="2" type="noConversion"/>
  </si>
  <si>
    <t>Interpol이 주도한 ‘Operation Africa Cyber Surge II’ 작전을 통해 아프리카 25개국에서 랜섬웨어, 피싱, 비즈니스 이메일 사기 등 다양한 사이버범죄와 연계된 20,674개의 의심 네트워크를 식별하고, 14명의 용의자를 체포하며, 테러 자금 조달 및 자금세탁 등 조직범죄 대응에 나섰다.</t>
    <phoneticPr fontId="2" type="noConversion"/>
  </si>
  <si>
    <t>https://www.vanguardngr.com/2024/04/interpol-identifies-20-674-suspicious-networks-linked-to-terrorists-money-laundering-others-in-25-african-countries/</t>
  </si>
  <si>
    <t>Operation Bali Becik 2024</t>
    <phoneticPr fontId="2" type="noConversion"/>
  </si>
  <si>
    <t>사이버 사기(인터넷 사기), 비자 남용, 불법 금융거래, 신분도용, 계정 정보 유출</t>
    <phoneticPr fontId="2" type="noConversion"/>
  </si>
  <si>
    <t>인도네시아 발리 이민국, 발리 베칙 태스크포스, BAIS TNI(인도네시아 군사전략정보국 데봐 타스크포스), 인도네시아 법무인권부(Kemenkumham), 인도네시아 이민국 총국, 각국 관련 당국(말레이시아 등과 협력)</t>
    <phoneticPr fontId="2" type="noConversion"/>
  </si>
  <si>
    <t>인도네시아, 말레이시아</t>
    <phoneticPr fontId="2" type="noConversion"/>
  </si>
  <si>
    <t>인도네시아 발리 이민국과 발리 베칙 태스크포스가 주도한 ‘Operation Bali Becik 2024’ 작전에서 발리 타바난 지역의 빌라를 급습해 103명의 대만 국적자(실제 대만 정부는 14명으로 확인)를 체포하고, 인터넷 사기 및 비자 남용 혐의로 추방 절차를 진행하며 대규모 해외 표적 사이버 사기 네트워크를 무력화했다.</t>
    <phoneticPr fontId="2" type="noConversion"/>
  </si>
  <si>
    <t>https://www.aljazeera.com/news/2024/6/28/indonesia-says-will-deport-103-taiwanese-suspected-of-cybercrimes-in-bali</t>
  </si>
  <si>
    <t>Operation Cronos</t>
    <phoneticPr fontId="2" type="noConversion"/>
  </si>
  <si>
    <t>랜섬웨어, 데이터 유출, 컴퓨터 무단 침입, 금전 갈취, 조직범죄</t>
    <phoneticPr fontId="2" type="noConversion"/>
  </si>
  <si>
    <t>영국 국가범죄청(NCA), 미국 연방수사국(FBI), 프랑스 경찰, 독일 경찰, 일본 경찰, 호주 경찰, 뉴질랜드 경찰, 캐나다 경찰, 유로폴 등</t>
    <phoneticPr fontId="2" type="noConversion"/>
  </si>
  <si>
    <t>영국, 미국, 프랑스, 독일, 일본, 호주, 뉴질랜드, 캐나다, 폴란드, 우크라이나 등 11개국</t>
    <phoneticPr fontId="2" type="noConversion"/>
  </si>
  <si>
    <t>영국 국가범죄청(NCA)과 미국 연방수사국(FBI)이 주도한 ‘Operation Cronos’ 작전에서 11개국 법집행기관이 협력해 세계 최대 랜섬웨어 조직 LockBit의 웹사이트와 인프라를 장악하고, 11,000개 이상의 도메인을 압수하며, 200개 이상의 암호화폐 계좌를 동결해 조직의 범죄 활동에 중대한 타격을 입혔다.</t>
    <phoneticPr fontId="2" type="noConversion"/>
  </si>
  <si>
    <t>https://www.theguardian.com/technology/2024/feb/20/uk-and-fbi-lock-cybercrime-group-out-of-lockbit-website</t>
  </si>
  <si>
    <t>Operation Cyber Slaves</t>
    <phoneticPr fontId="2" type="noConversion"/>
  </si>
  <si>
    <t>사이버범죄, 피싱, 신분도용, 강제 노동(사이버 노예), 조직범죄, 인간 밀매</t>
    <phoneticPr fontId="2" type="noConversion"/>
  </si>
  <si>
    <t>India Today(미디어), 인도 내무부, 인도 사이버범죄조정센터(I4C), 각 지역 경찰, 국제 협력기관</t>
    <phoneticPr fontId="2" type="noConversion"/>
  </si>
  <si>
    <t>인도, 캄보디아, 미얀마, 라오스</t>
    <phoneticPr fontId="2" type="noConversion"/>
  </si>
  <si>
    <t>India Today(미디어)의 ‘Operation Cyber Slaves’ 조사는 캄보디아, 미얀마, 라오스의 ‘골든 트라이앵글’ 지역에서 인도인 등이 납치 및 강제 노동을 당하며 사이버범죄에 동원되는 현실을 폭로했으며, 인도 및 국제 기관이 피해자 구조와 범죄 네트워크 해체에 나서고 있다.</t>
    <phoneticPr fontId="2" type="noConversion"/>
  </si>
  <si>
    <t>https://www.indiatoday.in/programme/newstrack-with-rahul-kanwal/video/operation-cyber-slaves-india-today-exposes-ruthless-cybercrime-syndicates-top-focus-on-rahul-kanwals-show-2642515-2024-11-29</t>
    <phoneticPr fontId="2" type="noConversion"/>
  </si>
  <si>
    <t>Operation Destabilise</t>
    <phoneticPr fontId="2" type="noConversion"/>
  </si>
  <si>
    <t>자금세탁, 불법 금융거래, 마약 밀매, 랜섬웨어 공격, 불법 암호화폐 거래, 러시아 엘리트 및 첩보 활동 자금 지원</t>
    <phoneticPr fontId="2" type="noConversion"/>
  </si>
  <si>
    <t>영국 국가범죄수사국(NCA), 미국 재무부(US Treasury), 미국 연방수사국(FBI), 영국 런던경찰청(Metropolitan Police), 프랑스 중앙경찰사법국(Direction Centrale de la Police Judiciaire) 등 국제법집행기관</t>
    <phoneticPr fontId="2" type="noConversion"/>
  </si>
  <si>
    <t>영국, 미국, 프랑스, 러시아, 중동, 남미 등</t>
    <phoneticPr fontId="2" type="noConversion"/>
  </si>
  <si>
    <t>영국 국가범죄수사국(NCA)이 주도한 ‘Operation Destabilise’ 작전에서 러시아 엘리트, 사이버범죄 조직, 마약 밀매업자, 첩보 활동까지 지원한 대규모 자금세탁 네트워크(Smart, TGR 그룹)를 적발해 80명 이상을 체포하고, 불법 암호화폐 거래와 자금세탁 경로를 차단하며, 국제 범죄 네트워크에 중대한 타격을 입혔다.</t>
    <phoneticPr fontId="2" type="noConversion"/>
  </si>
  <si>
    <t>https://therecord.media/russian-money-laundering-networks-trafficking-cybercrime-kremlin</t>
    <phoneticPr fontId="2" type="noConversion"/>
  </si>
  <si>
    <t>Operation Endgame2</t>
    <phoneticPr fontId="2" type="noConversion"/>
  </si>
  <si>
    <t>악성코드유포, 봇넷운영, 랜섬웨어 공격, 불법 데이터 침해, 사기</t>
  </si>
  <si>
    <t>캐나다 왕립기마경찰(RCMP), National Cybercrime Coordination Centre(CNC3), Europol, 미국 및 유럽 각국 법집행기관, Spamhaus 등 민간 파트너</t>
    <phoneticPr fontId="2" type="noConversion"/>
  </si>
  <si>
    <t>캐나다, 미국, 독일, 프랑스, 네덜란드, 덴마크, 체코, 영국</t>
    <phoneticPr fontId="2" type="noConversion"/>
  </si>
  <si>
    <t>Operation Endgame 국제 공조 작전을 통해 캐나다 서리 지역 주민이 포함된 범죄 네트워크가 체포되고, 수천 대의 감염된 컴퓨터와 주요 악성코드(IcedID, SystemBC, Pikabot, Smokeloader, Bumblebee 등) 유포 인프라가 해체되었다.</t>
    <phoneticPr fontId="2" type="noConversion"/>
  </si>
  <si>
    <t>https://vancouver.citynews.ca/2025/04/09/surrey-resident-arrested-in-operation-endgame-international-cybercrime-crackdown/</t>
  </si>
  <si>
    <t>Operation HAECHI V</t>
    <phoneticPr fontId="2" type="noConversion"/>
  </si>
  <si>
    <t>보이스피싱, 연애 사기(로맨스 스캠), 온라인 섹스토션(성적 협박), 투자 사기, 불법 온라인 도박, 비즈니스 이메일 침해(BEC), 이커머스 사기, 암호화폐 사기</t>
    <phoneticPr fontId="2" type="noConversion"/>
  </si>
  <si>
    <t>INTERPOL, 각국 법집행기관(40개국 이상), 한국 경찰, 중국(베이징) 경찰 등</t>
    <phoneticPr fontId="2" type="noConversion"/>
  </si>
  <si>
    <t>나이지리아, 한국, 중국, 미국, 영국, 프랑스, 독일 등 40개국</t>
    <phoneticPr fontId="2" type="noConversion"/>
  </si>
  <si>
    <t>INTERPOL이 주도한 ‘Operation HAECHI V’ 작전에서 40개국 법집행기관이 협력해 보이스피싱, 연애 사기, 투자 사기 등 7가지 유형의 사이버사기 네트워크를 적발해 5,500명 이상을 체포하고, 4억 달러 이상의 자산을 압수하며, 대규모 금융범죄 조직을 해체했다.</t>
    <phoneticPr fontId="2" type="noConversion"/>
  </si>
  <si>
    <t>https://www.helpnetsecurity.com/2024/12/02/haechi-v-interpol-global-operation-targeting-cyber-fraud/</t>
  </si>
  <si>
    <t>Operation Jackal III</t>
    <phoneticPr fontId="2" type="noConversion"/>
  </si>
  <si>
    <t>컴퓨터사기(금융사기, 비즈니스 이메일 침해, 투자 사기, 실업 보험 사기), 인신매매, 마약 밀수, 폭력범죄, 자금세탁</t>
  </si>
  <si>
    <t>INTERPOL, 각국 법집행기관(40개국 이상), 미국 법무부, FBI 등</t>
    <phoneticPr fontId="2" type="noConversion"/>
  </si>
  <si>
    <t>나이지리아, 미국, 영국, 프랑스, 독일, 이탈리아, 스페인, 네덜란드, 남아프리카공화국, 아일랜드 등 40개국 이상</t>
    <phoneticPr fontId="2" type="noConversion"/>
  </si>
  <si>
    <t>INTERPOL이 주도한 ‘Operation Jackal III’ 작전에서 40개국 이상의 법집행기관이 협력해 서아프리카(특히 나이지리아)의 ‘Black Axe’ 등 범죄조직을 적발해 300명을 체포하고, 300만 달러 상당의 자산을 압수하며, 720개 은행 계좌를 차단해 금융사기, 인신매매, 마약 밀수 등 다양한 범죄 네트워크에 중대한 타격을 입혔다.</t>
    <phoneticPr fontId="2" type="noConversion"/>
  </si>
  <si>
    <t>https://cyberscoop.com/300-arrests-made-in-crackdown-of-west-african-cyber-fraud-group/</t>
  </si>
  <si>
    <t>Operation Nebulae</t>
    <phoneticPr fontId="2" type="noConversion"/>
  </si>
  <si>
    <t>피싱, 신분정보 도용, 불법 금융거래, 조직범죄, 마약 관련 범죄(일부 용의자)</t>
    <phoneticPr fontId="2" type="noConversion"/>
  </si>
  <si>
    <t>Australian Federal Police(AFP), Victoria Police, Queensland Police, NSW Police, South Australia Police, Western Australia Police, Europol, 각국 법집행기관</t>
    <phoneticPr fontId="2" type="noConversion"/>
  </si>
  <si>
    <t>호주, 영국, 캐나다, 아일랜드, 전 세계(피해자 및 용의자 국적 다양)</t>
    <phoneticPr fontId="2" type="noConversion"/>
  </si>
  <si>
    <t>Europol과 호주 연방경찰(AFP) 등이 ‘Operation Nebulae’ 작전을 통해 전 세계적으로 4만 개 이상의 피싱 도메인을 관리하며 9만 4천 명 이상의 호주인 신분정보를 탈취한 LabHost 피싱 플랫폼을 해체하고, 호주 전역에서 5명을 체포하며 국제 사이버범죄 네트워크에 중대한 타격을 입혔다.</t>
    <phoneticPr fontId="2" type="noConversion"/>
  </si>
  <si>
    <t>https://itwire.com/business-it-news/security/five-australians-held-in-operation-to-take-down-cyber-crime-ring.html</t>
  </si>
  <si>
    <t>Operation Red Card</t>
    <phoneticPr fontId="2" type="noConversion"/>
  </si>
  <si>
    <t>사이버범죄(모바일 뱅킹 사기, 투자 사기, 온라인 카지노 사기, SIM 박스 사기, SMS 피싱, 악성코드 기반 휴대폰 해킹, 신분 사칭, 불법 자금 세탁, 인신매매 등)</t>
    <phoneticPr fontId="2" type="noConversion"/>
  </si>
  <si>
    <t>Interpol, 각국 경찰 및 사이버범죄수사기관, Group-IB, Trend Micro, Kaspersky</t>
    <phoneticPr fontId="2" type="noConversion"/>
  </si>
  <si>
    <t>베냉, 코트디부아르, 나이지리아, 르완다, 남아프리카공화국, 토고, 잠비아</t>
    <phoneticPr fontId="2" type="noConversion"/>
  </si>
  <si>
    <t>Interpol이 아프리카 7개국 법집행기관과 협력해 2024년 11월부터 2025년 2월까지 Operation Red Card 작전을 펼쳐 5,000명 이상의 피해자를 낸 국경 간 사이버범죄 네트워크를 해체하고, 300명 이상의 용의자를 체포하며, 2,000개 이상의 전자기기와 26대의 차량, 16채의 주택, 39개의 토지 등 다수의 증거 및 자산을 압수하고, 일부 용의자는 인신매매 피해자임도 확인했다.</t>
    <phoneticPr fontId="2" type="noConversion"/>
  </si>
  <si>
    <t>https://www.techradar.com/pro/security/interpol-operation-arrests-300-suspects-linked-to-african-cybercrime-rings</t>
  </si>
  <si>
    <t>Operation Serengeti</t>
    <phoneticPr fontId="2" type="noConversion"/>
  </si>
  <si>
    <t>사이버범죄(온라인 신용카드 사기, 은행 시스템 조작, 불법 금융거래, 랜섬웨어, 피싱, 조직범죄, 자금세탁)</t>
    <phoneticPr fontId="2" type="noConversion"/>
  </si>
  <si>
    <t>INTERPOL(인터폴), AFRIPOL(아프리카경찰기구), Kaspersky(카스퍼스키), 각국 법집행기관, 인터넷 서비스 제공업체(ISP), 민간 보안기업</t>
    <phoneticPr fontId="2" type="noConversion"/>
  </si>
  <si>
    <t>케냐, 아랍에미리트, 나이지리아, 중국, 아프리카 19개국(세네갈, 카메룬, 앙골라 등 포함)</t>
    <phoneticPr fontId="2" type="noConversion"/>
  </si>
  <si>
    <t>INTERPOL과 AFRIPOL이 주도한 ‘Operation Serengeti’ 작전을 통해 케냐를 포함한 아프리카 19개국에서 은행 시스템을 조작해 1,006명의 용의자를 체포하고, 13만 4,089개의 악성 인프라를 해체하며, 케냐에서만 24명을 검거하고 1,100억 케냐실링(약 860만 달러) 상당의 피해를 입힌 대규모 온라인 신용카드 사기 네트워크를 해체했다</t>
    <phoneticPr fontId="2" type="noConversion"/>
  </si>
  <si>
    <t>https://tech-ish.com/2024/11/27/kenya-cybercrime-interpol-banking-fraud/</t>
  </si>
  <si>
    <t>Operation Synergia II</t>
    <phoneticPr fontId="2" type="noConversion"/>
  </si>
  <si>
    <t>피싱, 정보탈취 악성코드(인포스틸러), 랜섬웨어</t>
    <phoneticPr fontId="2" type="noConversion"/>
  </si>
  <si>
    <t>INTERPOL, 각국 법집행기관(95개국), 민간 파트너</t>
    <phoneticPr fontId="2" type="noConversion"/>
  </si>
  <si>
    <t>호주, 오스트리아, 벨기에, 브라질, 캐나다 등 95개국</t>
    <phoneticPr fontId="2" type="noConversion"/>
  </si>
  <si>
    <t>INTERPOL이 주도한 ‘Operation Synergia II’ 작전에서 95개국 법집행기관이 협력해 피싱, 정보탈취 악성코드, 랜섬웨어 등 다양한 사이버범죄를 적발해 22,000개 이상의 악성 IP 주소와 59대의 서버를 해체하고, 41명을 체포하며, 수십만 명의 잠재적 피해자를 보호했다.</t>
    <phoneticPr fontId="2" type="noConversion"/>
  </si>
  <si>
    <t>https://www.techradar.com/pro/interpol-says-it-disrupted-thousands-of-cybercrime-instances-in-major-operation</t>
  </si>
  <si>
    <t>Operation Trust No One</t>
    <phoneticPr fontId="2" type="noConversion"/>
  </si>
  <si>
    <t>사이버 사기, 신분도용, 불법 금융거래, 데이터 절도, 피싱, 인신매매, 계정 정보 유출, 불법 서버 운영, 조직적 사이버범죄</t>
    <phoneticPr fontId="2" type="noConversion"/>
  </si>
  <si>
    <t>World Economic Forum, Cybercrime Atlas, Cyber Threat Alliance(CTA), INTERPOL, 각국 법집행기관(영국, 태국, 필리핀 등), 민간 사이버보안 기업(Fortinet, Microsoft, PayPal 등), 비영리단체, 학계</t>
    <phoneticPr fontId="2" type="noConversion"/>
  </si>
  <si>
    <t>영국, 태국, 필리핀, 서아프리카, 라틴아메리카, 유럽, 북미 등</t>
    <phoneticPr fontId="2" type="noConversion"/>
  </si>
  <si>
    <t>World Economic Forum, INTERPOL, 민간 사이버보안 기업 등 산업계와 공공기관이 협력해 2024년 한 해 동안 다양한 국제 공조 작전을 통해 대규모 사이버범죄 네트워크를 무력화하고, 피싱, 인신매매, 불법 금융거래 등 다양한 범죄에 효과적으로 대응하며, 공공-민간 협력의 중요성이 부각되었다.</t>
    <phoneticPr fontId="2" type="noConversion"/>
  </si>
  <si>
    <t>https://www.weforum.org/stories/2024/11/industry-experts-public-sector-are-disrupting-cybercriminals/</t>
    <phoneticPr fontId="2" type="noConversion"/>
  </si>
  <si>
    <t>biggest anti-cybercrime operation</t>
    <phoneticPr fontId="2" type="noConversion"/>
  </si>
  <si>
    <t>사이버범죄(사기, 신분 사칭, 나이지리아 헌법질서 위협 시도, 사이버테러, 신원 도용 등)</t>
    <phoneticPr fontId="2" type="noConversion"/>
  </si>
  <si>
    <t>Economic and Financial Crimes Commission (EFCC), Federal High Court Lagos</t>
    <phoneticPr fontId="2" type="noConversion"/>
  </si>
  <si>
    <t>나이지리아, 필리핀, 카자흐스탄, 튀니지, 중국</t>
    <phoneticPr fontId="2" type="noConversion"/>
  </si>
  <si>
    <t>EFCC가 라고스에서 글로벌 사이버범죄 및 암호화폐 사기 조직(‘HK’)을 적발해 18명의 외국인(필리핀 등)을 유죄 판결하고, 1년 징역 및 벌금형을 선고하며, 피해자에게 미국·캐나다·멕시코·유럽 등지에서 사기성 투자 및 로맨스 사기를 자행한 혐의로 모바일폰·노트북·라우터 등 범죄도구를 몰수했다</t>
    <phoneticPr fontId="2" type="noConversion"/>
  </si>
  <si>
    <t>https://punchng.com/12-filipinos-jailed-for-cybercrime-in-nigeria/</t>
  </si>
  <si>
    <t>crackdown</t>
    <phoneticPr fontId="2" type="noConversion"/>
  </si>
  <si>
    <t>사이버 범죄(사기, 신분 도용, 암호화폐 사기 등), 인신매매(노동 착취, 강제 노동), 위조 여권 및 서류, 강제 구금</t>
    <phoneticPr fontId="2" type="noConversion"/>
  </si>
  <si>
    <t>Telangana Cyber Security Bureau(TGCSB), Telangana Police, 인도 중앙정부(외무부), 각 지역 경찰서(Armoor, Jagtial, Sircilla, Rein Bazar in Hyderabad, Manakondur in Karimnagar)</t>
    <phoneticPr fontId="2" type="noConversion"/>
  </si>
  <si>
    <t>인도, 미얀마, 태국, 라오스(피해자 구조 및 수사 협력, 미얀마에 위치한 범죄 조직 대상)</t>
    <phoneticPr fontId="2" type="noConversion"/>
  </si>
  <si>
    <t>Telangana Cyber Security Bureau와 Telangana Police가 인도 중앙정부 및 지역 경찰서와 협력하여 미얀마, 태국, 라오스를 오가는 인신매매 및 사이버 범죄 조직을 적발하고, 피해자 구조와 가담자 체포, 추가 수사 및 사건 접수를 지속적으로 진행하고 있다</t>
    <phoneticPr fontId="2" type="noConversion"/>
  </si>
  <si>
    <t>https://timesofindia.indiatimes.com/city/hyderabad/agents-luring-people-to-myanmar-cybercrime-den-under-cops-radar/articleshow/118991601.cms</t>
  </si>
  <si>
    <t>cybercrime sting</t>
    <phoneticPr fontId="2" type="noConversion"/>
  </si>
  <si>
    <t>사이버범죄(불법 SMS 블래스터, IMSI 캐처 판매 및 사용, 사기, 데이터 프라이버시법 위반 등)</t>
    <phoneticPr fontId="2" type="noConversion"/>
  </si>
  <si>
    <t>Philippine National Police – Anti-cybercrime Group, Cybercrime Investigation and Coordinating Center (CICC), Bureau of Immigration, National Telecommunications Commission</t>
    <phoneticPr fontId="2" type="noConversion"/>
  </si>
  <si>
    <t>필리핀, 말레이시아</t>
    <phoneticPr fontId="2" type="noConversion"/>
  </si>
  <si>
    <t>필리핀과 말레이시아 당국이 공동으로 불법 SMS 블래스터 및 IMSI 캐처 장비를 판매한 말레이시아 국적 용의자를 체포하고, 해당 장비와 증거물을 압수했다.</t>
    <phoneticPr fontId="2" type="noConversion"/>
  </si>
  <si>
    <t>https://www.brigadanews.ph/malaysian-supplier-of-text-scam-device-arrested-in-cybercrime-sting/</t>
  </si>
  <si>
    <t>Eagle Flush Operation</t>
    <phoneticPr fontId="2" type="noConversion"/>
  </si>
  <si>
    <t>사이버범죄(경제사보타주, 금융테러, 신분 도용, 투자 사기, 피싱, 사이버테러 등)</t>
    <phoneticPr fontId="2" type="noConversion"/>
  </si>
  <si>
    <t>Economic and Financial Crimes Commission (EFCC), Federal High Court of Nigeria, Nigerian Immigration Service</t>
    <phoneticPr fontId="2" type="noConversion"/>
  </si>
  <si>
    <t>나이지리아, 중국</t>
    <phoneticPr fontId="2" type="noConversion"/>
  </si>
  <si>
    <t>EFCC가 2024년 12월 10일 라고스에서 최대 규모의 단일 사이버범죄 단속(Eagle Flush Operation)을 펼쳐 700명 이상(중국인 포함)을 체포하고, 2025년 6월 5일 소속 중국인 9명에게 경영사보타주 및 금융테러 혐의로 1년 징역 및 각 100만 나이라 벌금을 선고하며, 피의자들의 컴퓨터·노트북 등 증거를 압수하고, 형기 종료 후 중국으로 강제 송환을 명령했다</t>
    <phoneticPr fontId="2" type="noConversion"/>
  </si>
  <si>
    <t>https://the420.in/inside-nigerias-biggest-cybercrime-crackdown-nine-chinese-nationals-jailed-in-global-scam-ring/</t>
    <phoneticPr fontId="2" type="noConversion"/>
  </si>
  <si>
    <t>FBI seizure operation</t>
    <phoneticPr fontId="2" type="noConversion"/>
  </si>
  <si>
    <t>사이버범죄(사회공학, 악성코드유포, 암호화폐 절도, 데이터 절도, 사기 등)</t>
  </si>
  <si>
    <t>FBI, Trend Micro</t>
    <phoneticPr fontId="2" type="noConversion"/>
  </si>
  <si>
    <t>미국, 러시아, 북한</t>
    <phoneticPr fontId="2" type="noConversion"/>
  </si>
  <si>
    <t>FBI와 Trend Micro가 공동으로 러시아의 Khasan 및 Khabarovsk 지역 IP 범위와 VPS, 프록시 서버를 활용해 북한의 Void Dokkaebi(별칭 Famous Chollima) 사이버범죄 조직이 운영한 가상 회사 BlockNovas의 도메인을 압수하고, IT 전문가를 대상으로 한 사회공학 및 암호화폐 절도, 악성코드 유포 등 범죄 네트워크를 차단했다.</t>
    <phoneticPr fontId="2" type="noConversion"/>
  </si>
  <si>
    <t>https://cybersecuritynews.com/russian-vps-servers-with-rdp-proxy-servers/</t>
  </si>
  <si>
    <t>global operation</t>
    <phoneticPr fontId="2" type="noConversion"/>
  </si>
  <si>
    <t>사이버 범죄(악성코드유포, 랜섬웨어, 사기, 데이터 절도, 공공기관 및 기업 대상 공격 등)</t>
  </si>
  <si>
    <t>Bundeskriminalamt(BKA, 독일 연방범죄수사청), 미국 법무부(DOJ), 영국, 캐나다, 덴마크, 네덜란드, 프랑스, 독일 경찰 및 수사기관</t>
    <phoneticPr fontId="2" type="noConversion"/>
  </si>
  <si>
    <t>영국, 캐나다, 덴마크, 네덜란드, 프랑스, 독일, 미국</t>
    <phoneticPr fontId="2" type="noConversion"/>
  </si>
  <si>
    <t>유럽과 북미의 수사기관이 공조하여 러시아계 범죄자들이 주도하는 Qakbot, Danabot, Trickbot 등 악성코드 조직의 핵심을 무력화하고, 국제 체포영장 및 미국 내 기소장을 발부하며, 글로벌 사이버 범죄 네트워크에 중대한 타격을 가했다</t>
    <phoneticPr fontId="2" type="noConversion"/>
  </si>
  <si>
    <t>https://www.taipeitimes.com/News/world/archives/2025/05/25/2003837488</t>
  </si>
  <si>
    <t>HeartSender Group</t>
    <phoneticPr fontId="2" type="noConversion"/>
  </si>
  <si>
    <t>사이버범죄(국제적 디지털 사기, 피싱킷·사기 페이지 템플릿·이메일 추출기 판매, 불법 금융거래, 불법 소프트웨어 유통, 조직범죄 등)</t>
    <phoneticPr fontId="2" type="noConversion"/>
  </si>
  <si>
    <t>National Cyber Crime Investigation Agency (NCCIA), Federal Bureau of Investigation (FBI), 네덜란드 경찰</t>
    <phoneticPr fontId="2" type="noConversion"/>
  </si>
  <si>
    <t>파키스탄, 미국, 네덜란드</t>
    <phoneticPr fontId="2" type="noConversion"/>
  </si>
  <si>
    <t>파키스탄 NCCIA가 FBI와 네덜란드 경찰과 협력해 2025년 5월 15~16일 라호르와 멀탄에서 국제적 사기와 사이버범죄 도구 유통을 주도한 ‘HeartSender Group’을 적발, 21명을 체포하며, 32대의 디지털 기기(서버 포함), 럭셔리 차량(람보르기니 우루스), 두바이 부동산 등 자산을 압수하고, 11,000명 이상의 피해자와 미국 내 5,000만 달러, 유럽 63건 이상의 피해를 확인했으며, 피의자들은 피싱킷·사기 페이지·이메일 추출기 등 불법 도구를 제작·판매하고, 사용법을 가르치는 동영상까지 제작해 전 세계 범죄자들에게 교육을 제공한 사실이 드러났다.</t>
    <phoneticPr fontId="2" type="noConversion"/>
  </si>
  <si>
    <t>https://www.dawn.com/news/1911691</t>
    <phoneticPr fontId="2" type="noConversion"/>
  </si>
  <si>
    <t>Operation Chakra-IV</t>
    <phoneticPr fontId="2" type="noConversion"/>
  </si>
  <si>
    <t>국제 사이버 사기(기술지원 사칭, 원격 접근을 통한 컴퓨터 및 은행 계좌 불법 접근, 자금 유도, 암호화폐 활용 범죄 수익 처리), 사기(IPC 420), 위조(IPC 467, 468, 471), 정보통신망법 위반(IT Act 66D)</t>
    <phoneticPr fontId="2" type="noConversion"/>
  </si>
  <si>
    <t>Central Bureau of Investigation(CBI), 독일 법집행기관</t>
    <phoneticPr fontId="2" type="noConversion"/>
  </si>
  <si>
    <t>인도, 독일</t>
    <phoneticPr fontId="2" type="noConversion"/>
  </si>
  <si>
    <t>인도 CBI가 독일 법집행기관과 협력하여 ‘Operation Chakra-IV’ 작전을 통해 2021년부터 독일 국민을 대상으로 기술지원 사칭, 원격 접근 및 은행 계좌 불법 조작, 암호화폐 지갑으로 64만 유로 이상 유도 등 국제 사이버 범죄 네트워크를 무너뜨리고, 주요 용의자 체포 및 불법 콜센터, 증거물 압수 등 대규모 수사를 수행함</t>
    <phoneticPr fontId="2" type="noConversion"/>
  </si>
  <si>
    <t>https://www.freepressjournal.in/india/cbi-dismantles-global-cybercrime-network-targeting-germans-since-2021-in-operation-chakra-iv</t>
  </si>
  <si>
    <t>Operation Chakra-V</t>
    <phoneticPr fontId="2" type="noConversion"/>
  </si>
  <si>
    <t>컴퓨터사기, 기술지원 사기, 투자사기, 신분도용, 불법 전화센터 운영</t>
  </si>
  <si>
    <t>인도 중앙수사국(CBI), 일본 국립경찰청(National Police Agency), Microsoft</t>
    <phoneticPr fontId="2" type="noConversion"/>
  </si>
  <si>
    <t>인도, 일본</t>
    <phoneticPr fontId="2" type="noConversion"/>
  </si>
  <si>
    <t>CBI와 일본 국립경찰청이 협력하여 인도 내 불법 전화센터를 운영하며 일본 국민을 대상으로 기술지원 사기를 저지른 6명의 사이버범죄 조직원을 체포하고, 대규모 사기 네트워크를 무력화하였다.</t>
    <phoneticPr fontId="2" type="noConversion"/>
  </si>
  <si>
    <t>https://www.thehindu.com/news/national/operation-chakra-v-cbi-arrests-six-members-of-cybercrime-syndicate-targeting-japanese-citizens/article69632312.ece</t>
  </si>
  <si>
    <t>Operation Dolos</t>
    <phoneticPr fontId="2" type="noConversion"/>
  </si>
  <si>
    <t>온라인 사기, 피싱, 신분 도용, 불법 자금 이체, 데이터 침해, 랜섬웨어, 조직적 범죄</t>
    <phoneticPr fontId="2" type="noConversion"/>
  </si>
  <si>
    <t>호주 연방경찰(AFP), Joint Policing Cybercrime Coordination Centre(JPC3), 국가 사이버보안기관, 글로벌 산업 파트너</t>
    <phoneticPr fontId="2" type="noConversion"/>
  </si>
  <si>
    <t>호주, 필리핀, 동유럽 국가(범죄자 소재지, 구체적 국가명 불명)</t>
    <phoneticPr fontId="2" type="noConversion"/>
  </si>
  <si>
    <t>호주 연방경찰(AFP)과 JPC3가 주도한 Operation Dolos 작전에서 국내외 파트너와 협력해 온라인 사기, 피싱, 신분 도용 등 다양한 사이버범죄를 저지른 조직을 단속하여, 약 8,300만 호주 달러의 피해를 방지하고, 필리핀 등지의 주요 범죄 센터를 해체하며, 수만 명의 피해자 신원정보를 보호하는 성과를 거두었다.</t>
    <phoneticPr fontId="2" type="noConversion"/>
  </si>
  <si>
    <t>https://opengovasia.com/2025/01/07/australian-federal-police-advanced-tech-for-cyber-resilience/</t>
  </si>
  <si>
    <t>Operation Hawk</t>
    <phoneticPr fontId="2" type="noConversion"/>
  </si>
  <si>
    <t>사이버범죄(온라인 아동성착취, 아동성착취물 유통, 성적 협박(섹스토션), 미성년자 위협 등)</t>
    <phoneticPr fontId="2" type="noConversion"/>
  </si>
  <si>
    <t>Central Bureau of Investigation (CBI), FBI, Interpol, local cybersecurity units</t>
    <phoneticPr fontId="2" type="noConversion"/>
  </si>
  <si>
    <t>인도, 미국</t>
    <phoneticPr fontId="2" type="noConversion"/>
  </si>
  <si>
    <t>CBI가 주도한 Operation Hawk는 FBI와 인터폴 등과 협력해 국제 디지털 흔적을 남긴 온라인 아동성착취 네트워크를 해체하고, 뭄바이·델리 등지에서 용의자 2명을 체포하며 다수의 디지털 증거를 압수했다.</t>
    <phoneticPr fontId="2" type="noConversion"/>
  </si>
  <si>
    <t>https://www.insightsonindia.com/2025/05/01/operation-hawk/</t>
  </si>
  <si>
    <t>Operation Moonlander</t>
    <phoneticPr fontId="2" type="noConversion"/>
  </si>
  <si>
    <t>컴퓨터 해킹, 봇넷운영, 불법 프록시 서비스 유통, 보호된 컴퓨터에 대한 손상, 도메인 거짓 등록, 공모</t>
  </si>
  <si>
    <t>미국 법무부, FBI, 네덜란드 국가경찰, 네덜란드 검찰청(Openbaar Ministerie), 태국 왕립경찰, Lumen Technologies’ Black Lotus Labs</t>
    <phoneticPr fontId="2" type="noConversion"/>
  </si>
  <si>
    <t>미국, 네덜란드, 태국, 러시아, 카자흐스탄(운영자 국적 포함)</t>
    <phoneticPr fontId="2" type="noConversion"/>
  </si>
  <si>
    <t>미국과 네덜란드, 태국 등 국제 공조로 20년간 운영된 Anyproxy 및 5Socks 봇넷을 해체하고, 봇넷 운영자 4명(러시아인 3명, 카자흐스탄인 1명)을 기소하여, 저가형 무선 공유기 감염을 통한 불법 프록시 서비스와 4,600만 달러 이상의 범죄 수익을 차단했다.</t>
    <phoneticPr fontId="2" type="noConversion"/>
  </si>
  <si>
    <t>https://securityaffairs.com/177664/malware/operation-moonlander-dismantled-the-botnet-behind-anyproxy-and-5socks-cybercriminals-services.html</t>
  </si>
  <si>
    <t>Operation Phobos Aetor</t>
    <phoneticPr fontId="2" type="noConversion"/>
  </si>
  <si>
    <t>랜섬웨어(Phobos 및 8Base), 데이터 암호화, 이중 갈취(데이터 유출 협박), 불법 자금 이체, 컴퓨터 시스템 무단 접근, 조직적 범죄</t>
    <phoneticPr fontId="2" type="noConversion"/>
  </si>
  <si>
    <t>Europol, FBI, 영국 국가범죄청(NCA), 바이에른 경찰, 미국 법무부(DOJ), 스위스 법집행기관, 태국 경찰, 기타 14개국 법집행기관</t>
    <phoneticPr fontId="2" type="noConversion"/>
  </si>
  <si>
    <t>미국, 영국, 독일, 스위스, 태국, 벨기에, 프랑스, 이탈리아, 네덜란드, 기타 유럽·아시아·미주 국가</t>
    <phoneticPr fontId="2" type="noConversion"/>
  </si>
  <si>
    <t>Europol이 주도하고 14개국 이상 법집행기관이 협력한 국제 단속 작전에서 8Base 및 Phobos 랜섬웨어 그룹의 핵심 인물 4명을 체포하고, 27대 이상의 서버를 해제하며, 400개 이상의 기업에 공격 경고를 발송하여 글로벌 랜섬웨어 네트워크를 해체하였다.</t>
    <phoneticPr fontId="2" type="noConversion"/>
  </si>
  <si>
    <t>https://www.europol.europa.eu/media-press/newsroom/news/key-figures-behind-phobos-and-8base-ransomware-arrested-in-international-cybercrime-crackdown</t>
  </si>
  <si>
    <t>Operation Platforma</t>
    <phoneticPr fontId="2" type="noConversion"/>
  </si>
  <si>
    <t>사이버범죄(온라인 투자 사기, 금융사기, 가짜 투자 플랫폼 운영 등)</t>
    <phoneticPr fontId="2" type="noConversion"/>
  </si>
  <si>
    <t>Directorate for the Investigation of Cybercrimes (Albania), Directorate of the Special Operational Force (Albania), SPAK (Albanian Special Prosecution Office), Eurojust, Europol</t>
    <phoneticPr fontId="2" type="noConversion"/>
  </si>
  <si>
    <t>독일, 알바니아, 키프로스, 이스라엘</t>
    <phoneticPr fontId="2" type="noConversion"/>
  </si>
  <si>
    <t>독일, 알바니아, 키프로스, 이스라엘 당국이 Eurojust와 유로폴의 지원으로 Operation Platforma 작전을 통해 가짜 온라인 투자 플랫폼을 운영한 범죄 조직을 해체하고, 100명 이상의 피해자에게 300만 유로 이상의 손실을 입힌 혐의로 적발하며, 티라나에서 수천 유로와 다수의 범죄용 장비(모바일폰, 노트북 등)를 압수했다.</t>
    <phoneticPr fontId="2" type="noConversion"/>
  </si>
  <si>
    <t>https://a2news.com/english/shqiperia/kronike/rreth-3-milione-euro-dem-me-mashtrime-finalizohet-operacioni-n-i1147943</t>
  </si>
  <si>
    <t>Operation Secure</t>
    <phoneticPr fontId="2" type="noConversion"/>
  </si>
  <si>
    <t>사이버 범죄(정보탈취 악성코드유포, 피싱, 온라인 사기 등)</t>
  </si>
  <si>
    <t>INTERPOL, Group-IB, Kaspersky, Trend Micro 등</t>
    <phoneticPr fontId="2" type="noConversion"/>
  </si>
  <si>
    <t>베트남, 스리랑카, 나우루, 홍콩 등 26개국</t>
    <phoneticPr fontId="2" type="noConversion"/>
  </si>
  <si>
    <t>Operation Secure 작전을 통해 2만여 개 악성 IP 및 도메인 폐쇄, 41개 서버 압수, 100GB 이상 데이터 수집, 32명 체포, 40명 피해자 확인, 117개 C2 서버 적발 등 아시아 전역에서 대규모 사이버 인프라 차단에 성공했다.</t>
    <phoneticPr fontId="2" type="noConversion"/>
  </si>
  <si>
    <t>https://www.helpnetsecurity.com/2025/06/11/operation-secure-cybercrime-infostealer-crackdown/</t>
  </si>
  <si>
    <t>Operation Talent</t>
    <phoneticPr fontId="2" type="noConversion"/>
  </si>
  <si>
    <t>해킹, 불법 소프트웨어 유통, 자격 증명 및 개인정보 도용, 해킹 도구 및 악성코드 판매, 사이버 범죄(피싱, 신분 도용 등)</t>
    <phoneticPr fontId="2" type="noConversion"/>
  </si>
  <si>
    <t>FBI, Europol, 호주 연방경찰(AFP), 독일 연방범죄수사청(BKA), 프랑스, 그리스, 이탈리아, 스페인, 루마니아 법집행기관, 미국 법무부(DOJ), 미국 재무부 OFAC</t>
    <phoneticPr fontId="2" type="noConversion"/>
  </si>
  <si>
    <t>미국, 호주, 독일, 프랑스, 그리스, 이탈리아, 스페인, 루마니아(한글로: 미국, 호주, 독일, 프랑스, 그리스, 이탈리아, 스페인, 루마니아)</t>
    <phoneticPr fontId="2" type="noConversion"/>
  </si>
  <si>
    <t>FBI와 Europol, 호주 등 국제 경찰기관이 ‘Operation Talent’ 작전을 통해 Cracked.io, Nulled.to, MySellIX.io, StarkRDP.io 등 주요 사이버 범죄 포럼 및 서비스 도메인을 압수·차단하고, 해킹 도구, 불법 소프트웨어, 자격 증명 및 개인정보 유통 등 대규모 사이버 범죄 네트워크를 무력화</t>
    <phoneticPr fontId="2" type="noConversion"/>
  </si>
  <si>
    <t>https://cybernews.com/cybercrime/hacker-forums-cracked-nulled-mysellix-starkrdp-siezed-fbi-operation-talent/</t>
  </si>
  <si>
    <t>Qakbot disruption</t>
    <phoneticPr fontId="2" type="noConversion"/>
  </si>
  <si>
    <t>사이버범죄(해킹, 랜섬웨어, 컴퓨터 사기, 와이어 사기, 디지털 자산 절도 등)</t>
    <phoneticPr fontId="2" type="noConversion"/>
  </si>
  <si>
    <t>US Department of Justice, FBI, French National Police, German Federal Police, Netherlands National Police, Danish Police, UK National Crime Agency, Canadian Police</t>
    <phoneticPr fontId="2" type="noConversion"/>
  </si>
  <si>
    <t>미국, 프랑스, 독일, 네덜란드, 덴마크, 영국, 캐나다</t>
    <phoneticPr fontId="2" type="noConversion"/>
  </si>
  <si>
    <t>미국 DOJ와 FBI를 비롯한 7개국 법집행기관이 공동으로 러시아 국적의 Rustam Rafailevich Gallyamov(48세)를 Qakbot 랜섬웨어를 이용한 글로벌 사이버범죄 조직의 리더로 기소하며, 수천 대의 컴퓨터를 감염시키고 수백만 달러를 갈취한 범죄 사실을 밝혔다</t>
    <phoneticPr fontId="2" type="noConversion"/>
  </si>
  <si>
    <t>https://nypost.com/2025/05/24/us-news/doj-indicts-russian-national-who-led-global-cybercrime-syndicate/</t>
  </si>
  <si>
    <t>STF operation</t>
    <phoneticPr fontId="2" type="noConversion"/>
  </si>
  <si>
    <t>사이버범죄(사기, 불법 게임 및 거래 앱, 디지털 구속, 암호화폐 세탁)</t>
    <phoneticPr fontId="2" type="noConversion"/>
  </si>
  <si>
    <t>Uttar Pradesh Special Task Force (STF), National Cybercrime Reporting Portal (NCRP)</t>
    <phoneticPr fontId="2" type="noConversion"/>
  </si>
  <si>
    <t>인도, 중국</t>
    <phoneticPr fontId="2" type="noConversion"/>
  </si>
  <si>
    <t>인도 우타르프라데시 STF가 중국인과 연계된 국제 사이버범죄 조직을 해체하고, 디지털 구속 및 암호화폐 세탁 등 첨단 사기 수법으로 피해자를 속여 자금을 갈취한 용의자 2명을 체포했다</t>
    <phoneticPr fontId="2" type="noConversion"/>
  </si>
  <si>
    <t>https://www.republicworld.com/defence/global-defence-news/up-stf-busts-chinese-linked-cyber-syndicate-digital-arrests-crypto-laundering-fraud-exposed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</si>
</sst>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10"/>
      <color theme="1"/>
      <name val="맑은 고딕"/>
      <family val="3"/>
      <charset val="129"/>
      <scheme val="major"/>
    </font>
    <font>
      <sz val="8"/>
      <name val="맑은 고딕"/>
      <family val="2"/>
      <charset val="129"/>
      <scheme val="minor"/>
    </font>
    <font>
      <sz val="10"/>
      <color theme="1"/>
      <name val="맑은 고딕"/>
      <family val="3"/>
      <charset val="129"/>
    </font>
    <font>
      <u/>
      <sz val="11"/>
      <color theme="10"/>
      <name val="맑은 고딕"/>
      <family val="2"/>
      <charset val="129"/>
      <scheme val="minor"/>
    </font>
    <font>
      <u/>
      <sz val="10"/>
      <color theme="10"/>
      <name val="맑은 고딕"/>
      <family val="3"/>
      <charset val="129"/>
      <scheme val="major"/>
    </font>
    <font>
      <sz val="10"/>
      <color theme="1"/>
      <name val="Segoe UI"/>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9">
    <xf numFmtId="0" fontId="0" fillId="0" borderId="0" xfId="0">
      <alignment vertical="center"/>
    </xf>
    <xf numFmtId="0" fontId="1" fillId="0" borderId="0" xfId="0" applyFont="1" applyAlignment="1">
      <alignment horizontal="center" vertical="center" shrinkToFit="1"/>
    </xf>
    <xf numFmtId="0" fontId="1" fillId="0" borderId="0" xfId="0" applyFont="1" applyAlignment="1">
      <alignment vertical="center" shrinkToFit="1"/>
    </xf>
    <xf numFmtId="0" fontId="3" fillId="0" borderId="0" xfId="0" applyFont="1" applyAlignment="1">
      <alignment vertical="center" shrinkToFit="1"/>
    </xf>
    <xf numFmtId="0" fontId="1" fillId="0" borderId="0" xfId="0" applyFont="1">
      <alignment vertical="center"/>
    </xf>
    <xf numFmtId="0" fontId="1" fillId="0" borderId="0" xfId="0" applyFont="1" applyAlignment="1">
      <alignment horizontal="left" vertical="center" shrinkToFit="1"/>
    </xf>
    <xf numFmtId="0" fontId="5" fillId="0" borderId="0" xfId="1" applyFont="1" applyBorder="1" applyAlignment="1">
      <alignment vertical="center" shrinkToFit="1"/>
    </xf>
    <xf numFmtId="0" fontId="4" fillId="0" borderId="0" xfId="1" applyBorder="1" applyAlignment="1">
      <alignment vertical="center" shrinkToFit="1"/>
    </xf>
    <xf numFmtId="0" fontId="6" fillId="0" borderId="0" xfId="0" applyFont="1">
      <alignment vertical="center"/>
    </xf>
  </cellXfs>
  <cellStyles count="2">
    <cellStyle name="표준" xfId="0" builtinId="0"/>
    <cellStyle name="하이퍼링크" xfId="1" builtinId="8"/>
  </cellStyles>
  <dxfs count="82">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strike val="0"/>
        <outline val="0"/>
        <shadow val="0"/>
        <vertAlign val="baseline"/>
        <sz val="10"/>
        <name val="맑은 고딕"/>
        <family val="3"/>
        <charset val="129"/>
        <scheme val="major"/>
      </font>
      <alignment horizontal="general" vertical="center" textRotation="0" wrapText="0" indent="0" justifyLastLine="0" shrinkToFit="1" readingOrder="0"/>
    </dxf>
    <dxf>
      <font>
        <strike val="0"/>
        <outline val="0"/>
        <shadow val="0"/>
        <vertAlign val="baseline"/>
        <sz val="10"/>
        <name val="맑은 고딕"/>
        <family val="3"/>
        <charset val="129"/>
        <scheme val="major"/>
      </font>
      <alignment horizontal="left"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strike val="0"/>
        <outline val="0"/>
        <shadow val="0"/>
        <vertAlign val="baseline"/>
        <sz val="10"/>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numFmt numFmtId="0" formatCode="General"/>
      <alignment horizontal="general" vertical="center" textRotation="0" wrapText="0" indent="0" justifyLastLine="0" shrinkToFit="1" readingOrder="0"/>
    </dxf>
    <dxf>
      <font>
        <strike val="0"/>
        <outline val="0"/>
        <shadow val="0"/>
        <vertAlign val="baseline"/>
        <sz val="10"/>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strike val="0"/>
        <outline val="0"/>
        <shadow val="0"/>
        <vertAlign val="baseline"/>
        <sz val="10"/>
        <name val="맑은 고딕"/>
        <family val="3"/>
        <charset val="129"/>
        <scheme val="major"/>
      </font>
      <alignment horizontal="center" vertical="center" textRotation="0" wrapText="0" indent="0" justifyLastLine="0" shrinkToFit="1" readingOrder="0"/>
    </dxf>
    <dxf>
      <font>
        <strike val="0"/>
        <outline val="0"/>
        <shadow val="0"/>
        <vertAlign val="baseline"/>
        <sz val="10"/>
        <name val="맑은 고딕"/>
        <family val="3"/>
        <charset val="129"/>
        <scheme val="none"/>
      </font>
      <alignment horizontal="general" vertical="center" textRotation="0" wrapText="0" indent="0" justifyLastLine="0" shrinkToFit="1" readingOrder="0"/>
    </dxf>
    <dxf>
      <font>
        <strike val="0"/>
        <outline val="0"/>
        <shadow val="0"/>
        <vertAlign val="baseline"/>
        <sz val="10"/>
        <name val="맑은 고딕"/>
        <family val="3"/>
        <charset val="129"/>
        <scheme val="major"/>
      </font>
      <alignment horizontal="general" vertical="center" textRotation="0" wrapText="0" indent="0" justifyLastLine="0" shrinkToFit="1" readingOrder="0"/>
    </dxf>
    <dxf>
      <font>
        <strike val="0"/>
        <outline val="0"/>
        <shadow val="0"/>
        <vertAlign val="baseline"/>
        <sz val="10"/>
        <name val="맑은 고딕"/>
        <family val="3"/>
        <charset val="129"/>
        <scheme val="major"/>
      </font>
      <alignment horizontal="general" vertical="center" textRotation="0" wrapText="0" indent="0" justifyLastLine="0" shrinkToFit="1" readingOrder="0"/>
    </dxf>
    <dxf>
      <font>
        <strike val="0"/>
        <outline val="0"/>
        <shadow val="0"/>
        <vertAlign val="baseline"/>
        <sz val="10"/>
        <name val="맑은 고딕"/>
        <family val="3"/>
        <charset val="129"/>
        <scheme val="major"/>
      </font>
      <alignment horizontal="left"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strike val="0"/>
        <outline val="0"/>
        <shadow val="0"/>
        <vertAlign val="baseline"/>
        <sz val="10"/>
        <name val="맑은 고딕"/>
        <family val="3"/>
        <charset val="129"/>
        <scheme val="major"/>
      </font>
      <alignment horizontal="general" vertical="center" textRotation="0" wrapText="0" indent="0" justifyLastLine="0" shrinkToFit="1" readingOrder="0"/>
    </dxf>
    <dxf>
      <font>
        <strike val="0"/>
        <outline val="0"/>
        <shadow val="0"/>
        <vertAlign val="baseline"/>
        <sz val="10"/>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strike val="0"/>
        <outline val="0"/>
        <shadow val="0"/>
        <vertAlign val="baseline"/>
        <sz val="10"/>
        <name val="맑은 고딕"/>
        <family val="3"/>
        <charset val="129"/>
        <scheme val="major"/>
      </font>
      <alignment horizontal="center" vertical="center" textRotation="0" wrapText="0" indent="0" justifyLastLine="0" shrinkToFit="1" readingOrder="0"/>
    </dxf>
    <dxf>
      <font>
        <strike val="0"/>
        <outline val="0"/>
        <shadow val="0"/>
        <vertAlign val="baseline"/>
        <sz val="10"/>
        <name val="맑은 고딕"/>
        <family val="3"/>
        <charset val="129"/>
        <scheme val="none"/>
      </font>
      <alignment horizontal="general" vertical="center" textRotation="0" wrapText="0" indent="0" justifyLastLine="0" shrinkToFit="1" readingOrder="0"/>
    </dxf>
    <dxf>
      <font>
        <strike val="0"/>
        <outline val="0"/>
        <shadow val="0"/>
        <vertAlign val="baseline"/>
        <sz val="10"/>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none"/>
      </font>
      <numFmt numFmtId="0" formatCode="General"/>
      <alignment horizontal="general" vertical="center" textRotation="0" wrapText="0" indent="0" justifyLastLine="0" shrinkToFit="1" readingOrder="0"/>
    </dxf>
    <dxf>
      <font>
        <strike val="0"/>
        <outline val="0"/>
        <shadow val="0"/>
        <vertAlign val="baseline"/>
        <sz val="10"/>
        <name val="맑은 고딕"/>
        <family val="3"/>
        <charset val="129"/>
        <scheme val="none"/>
      </font>
      <numFmt numFmtId="0" formatCode="General"/>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none"/>
      </font>
      <alignment horizontal="general" vertical="center" textRotation="0" wrapText="0" indent="0" justifyLastLine="0" shrinkToFit="1" readingOrder="0"/>
    </dxf>
    <dxf>
      <font>
        <strike val="0"/>
        <outline val="0"/>
        <shadow val="0"/>
        <vertAlign val="baseline"/>
        <sz val="10"/>
        <name val="맑은 고딕"/>
        <family val="3"/>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none"/>
      </font>
      <alignment horizontal="general" vertical="center" textRotation="0" wrapText="0" indent="0" justifyLastLine="0" shrinkToFit="1" readingOrder="0"/>
    </dxf>
    <dxf>
      <font>
        <strike val="0"/>
        <outline val="0"/>
        <shadow val="0"/>
        <vertAlign val="baseline"/>
        <sz val="10"/>
        <name val="맑은 고딕"/>
        <family val="3"/>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none"/>
      </font>
      <alignment horizontal="general" vertical="center" textRotation="0" wrapText="0" indent="0" justifyLastLine="0" shrinkToFit="1" readingOrder="0"/>
    </dxf>
    <dxf>
      <font>
        <strike val="0"/>
        <outline val="0"/>
        <shadow val="0"/>
        <vertAlign val="baseline"/>
        <sz val="10"/>
        <name val="맑은 고딕"/>
        <family val="3"/>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none"/>
      </font>
      <alignment horizontal="general" vertical="center" textRotation="0" wrapText="0" indent="0" justifyLastLine="0" shrinkToFit="1" readingOrder="0"/>
    </dxf>
    <dxf>
      <font>
        <strike val="0"/>
        <outline val="0"/>
        <shadow val="0"/>
        <vertAlign val="baseline"/>
        <sz val="10"/>
        <name val="맑은 고딕"/>
        <family val="3"/>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none"/>
      </font>
      <alignment horizontal="general" vertical="center" textRotation="0" wrapText="0" indent="0" justifyLastLine="0" shrinkToFit="1" readingOrder="0"/>
    </dxf>
    <dxf>
      <font>
        <strike val="0"/>
        <outline val="0"/>
        <shadow val="0"/>
        <vertAlign val="baseline"/>
        <sz val="10"/>
        <name val="맑은 고딕"/>
        <family val="3"/>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none"/>
      </font>
      <alignment horizontal="general" vertical="center" textRotation="0" wrapText="0" indent="0" justifyLastLine="0" shrinkToFit="1" readingOrder="0"/>
    </dxf>
    <dxf>
      <font>
        <strike val="0"/>
        <outline val="0"/>
        <shadow val="0"/>
        <vertAlign val="baseline"/>
        <sz val="10"/>
        <name val="맑은 고딕"/>
        <family val="3"/>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none"/>
      </font>
      <alignment horizontal="general" vertical="center" textRotation="0" wrapText="0" indent="0" justifyLastLine="0" shrinkToFit="1" readingOrder="0"/>
    </dxf>
    <dxf>
      <font>
        <strike val="0"/>
        <outline val="0"/>
        <shadow val="0"/>
        <vertAlign val="baseline"/>
        <sz val="10"/>
        <name val="맑은 고딕"/>
        <family val="3"/>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none"/>
      </font>
      <alignment horizontal="general" vertical="center" textRotation="0" wrapText="0" indent="0" justifyLastLine="0" shrinkToFit="1" readingOrder="0"/>
    </dxf>
    <dxf>
      <font>
        <strike val="0"/>
        <outline val="0"/>
        <shadow val="0"/>
        <vertAlign val="baseline"/>
        <sz val="10"/>
        <name val="맑은 고딕"/>
        <family val="3"/>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none"/>
      </font>
      <alignment horizontal="general" vertical="center" textRotation="0" wrapText="0" indent="0" justifyLastLine="0" shrinkToFit="1" readingOrder="0"/>
    </dxf>
    <dxf>
      <font>
        <strike val="0"/>
        <outline val="0"/>
        <shadow val="0"/>
        <vertAlign val="baseline"/>
        <sz val="10"/>
        <name val="맑은 고딕"/>
        <family val="3"/>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none"/>
      </font>
      <alignment horizontal="general" vertical="center" textRotation="0" wrapText="0" indent="0" justifyLastLine="0" shrinkToFit="1" readingOrder="0"/>
    </dxf>
    <dxf>
      <font>
        <strike val="0"/>
        <outline val="0"/>
        <shadow val="0"/>
        <vertAlign val="baseline"/>
        <sz val="10"/>
        <name val="맑은 고딕"/>
        <family val="3"/>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none"/>
      </font>
      <alignment horizontal="general" vertical="center" textRotation="0" wrapText="0" indent="0" justifyLastLine="0" shrinkToFit="1" readingOrder="0"/>
    </dxf>
    <dxf>
      <font>
        <strike val="0"/>
        <outline val="0"/>
        <shadow val="0"/>
        <vertAlign val="baseline"/>
        <sz val="10"/>
        <name val="맑은 고딕"/>
        <family val="3"/>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general" vertical="center" textRotation="0" wrapText="0" indent="0" justifyLastLine="0" shrinkToFit="1" readingOrder="0"/>
    </dxf>
    <dxf>
      <font>
        <strike val="0"/>
        <outline val="0"/>
        <shadow val="0"/>
        <vertAlign val="baseline"/>
        <sz val="10"/>
        <name val="맑은 고딕"/>
        <family val="3"/>
        <charset val="129"/>
        <scheme val="maj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numFmt numFmtId="0" formatCode="General"/>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ajor"/>
      </font>
      <numFmt numFmtId="0" formatCode="General"/>
      <alignment horizontal="center" vertical="center" textRotation="0" wrapText="0" indent="0" justifyLastLine="0" shrinkToFit="1" readingOrder="0"/>
    </dxf>
    <dxf>
      <font>
        <strike val="0"/>
        <outline val="0"/>
        <shadow val="0"/>
        <vertAlign val="baseline"/>
        <sz val="10"/>
        <name val="맑은 고딕"/>
        <family val="3"/>
        <charset val="129"/>
        <scheme val="none"/>
      </font>
      <alignment horizontal="general" vertical="center" textRotation="0" wrapText="0" indent="0" justifyLastLine="0" shrinkToFit="1" readingOrder="0"/>
    </dxf>
    <dxf>
      <font>
        <strike val="0"/>
        <outline val="0"/>
        <shadow val="0"/>
        <vertAlign val="baseline"/>
        <sz val="10"/>
        <name val="맑은 고딕"/>
        <family val="3"/>
        <charset val="129"/>
        <scheme val="major"/>
      </font>
      <alignment horizontal="general" vertical="center" textRotation="0" wrapText="0" indent="0" justifyLastLine="0" shrinkToFi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7C3F90-0F3F-4DDB-B41E-AC36663C1EAC}" name="표1_429" displayName="표1_429" ref="A1:H68" totalsRowShown="0" headerRowDxfId="49" dataDxfId="48">
  <autoFilter ref="A1:H68" xr:uid="{6D6EFB4C-2336-4EA9-92D3-BCAE274E43B2}"/>
  <sortState xmlns:xlrd2="http://schemas.microsoft.com/office/spreadsheetml/2017/richdata2" ref="A2:H68">
    <sortCondition ref="C1:C68"/>
  </sortState>
  <tableColumns count="8">
    <tableColumn id="1" xr3:uid="{1DFE70B2-C3AA-47A3-8573-048C946A5C65}" name="연번" dataDxfId="47"/>
    <tableColumn id="6" xr3:uid="{C08A9E57-F39F-43C1-AF15-660C3126C3D2}" name="연도" dataDxfId="46"/>
    <tableColumn id="3" xr3:uid="{5D9F4C2F-CF70-4D5C-B7E7-5E4B70FF38D8}" name="작전명" dataDxfId="45"/>
    <tableColumn id="4" xr3:uid="{EA55B349-7727-44EC-BF6C-72CCD5C63665}" name="죄명(한글)" dataDxfId="44"/>
    <tableColumn id="26" xr3:uid="{6BE12716-B880-4F1F-876B-56BCEB69389A}" name="참여기관(기본 한글, 저명한 기관만 영문)" dataDxfId="43"/>
    <tableColumn id="25" xr3:uid="{831486F2-8E70-4E11-849B-75606DBD8D3B}" name="참여국가(한글)" dataDxfId="42"/>
    <tableColumn id="12" xr3:uid="{DB4032B9-36F6-478A-A254-A5452B74513B}" name="내용" dataDxfId="41"/>
    <tableColumn id="13" xr3:uid="{6A017024-E2EC-45BC-A6A7-7E7ACF718976}" name="출처" dataDxfId="40" dataCellStyle="하이퍼링크"/>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63C7BCF-F725-4C6C-99DC-C57CD102A3B6}" name="표1_42" displayName="표1_42" ref="A1:I165" totalsRowShown="0" headerRowDxfId="39" dataDxfId="38">
  <autoFilter ref="A1:I165" xr:uid="{DDBFA16F-2807-4EAB-9A17-8384F107B8A0}"/>
  <sortState xmlns:xlrd2="http://schemas.microsoft.com/office/spreadsheetml/2017/richdata2" ref="A2:I165">
    <sortCondition ref="B1:B165"/>
  </sortState>
  <tableColumns count="9">
    <tableColumn id="1" xr3:uid="{3CBD2199-10F8-46CB-8813-EF5E7B6AA393}" name="연번" dataDxfId="37"/>
    <tableColumn id="6" xr3:uid="{00A50237-2950-4198-A3FA-1C1CE436B838}" name="연도" dataDxfId="36"/>
    <tableColumn id="3" xr3:uid="{1CA759A4-3D60-408F-ADF7-D952AF2C0F0C}" name="작전명" dataDxfId="35"/>
    <tableColumn id="2" xr3:uid="{5705A92F-6D72-40F1-81E1-8BD5A22ABD90}" name="횟수" dataDxfId="34">
      <calculatedColumnFormula>COUNTIF(표1_42[[#All],[작전명]],표1_42[[#This Row],[작전명]])</calculatedColumnFormula>
    </tableColumn>
    <tableColumn id="4" xr3:uid="{911B99C3-D203-4ABD-8E3C-6258B4E51EEA}" name="죄명(한글)" dataDxfId="33"/>
    <tableColumn id="26" xr3:uid="{4526536D-496D-4784-A584-1CABADA62B01}" name="참여기관(기본 한글, 저명한 기관만 영문)" dataDxfId="32"/>
    <tableColumn id="25" xr3:uid="{24BE4AA6-5420-4831-AB30-E23D47DFC890}" name="참여국가(한글)" dataDxfId="31"/>
    <tableColumn id="12" xr3:uid="{06D51744-F991-4767-90F5-623366383EC5}" name="내용" dataDxfId="30"/>
    <tableColumn id="13" xr3:uid="{77D90F61-2324-4FF5-808E-3319325A65CE}" name="출처" dataDxfId="29" dataCellStyle="하이퍼링크"/>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B9A3B6-0D92-48A3-AC60-30EBA1AA0865}" name="표5" displayName="표5" ref="A1:X166" totalsRowShown="0" headerRowDxfId="28" dataDxfId="27">
  <autoFilter ref="A1:X166" xr:uid="{D713E7CE-7CB5-4DC4-9A15-6269F901CAB5}"/>
  <tableColumns count="24">
    <tableColumn id="2" xr3:uid="{339CDA53-0106-45B6-844C-0190B83E4CF3}" name="연번" dataDxfId="26"/>
    <tableColumn id="1" xr3:uid="{43963C37-35F2-46AF-923C-19610C18CE1C}" name="작전명2" dataDxfId="25"/>
    <tableColumn id="5" xr3:uid="{A6B74A62-3379-47E2-AE77-83B7B1E7131D}" name="참여기관" dataDxfId="24"/>
    <tableColumn id="6" xr3:uid="{E76077C9-7722-44CA-9E85-672FD1E2F448}" name="참여기관2" dataDxfId="23"/>
    <tableColumn id="7" xr3:uid="{29082356-18E3-414B-B611-4CB0BADB9A29}" name="참여기관3" dataDxfId="22"/>
    <tableColumn id="8" xr3:uid="{8B0AE8B7-6499-4AC9-8F3B-BD8DA0A3D792}" name="참여기관4" dataDxfId="21"/>
    <tableColumn id="9" xr3:uid="{13D97D01-30AE-41FA-B1FE-AC45700AABD0}" name="참여기관5" dataDxfId="20"/>
    <tableColumn id="10" xr3:uid="{90991C32-1866-4A2E-AC2F-4FCD51FB6A5C}" name="참여기관6" dataDxfId="19"/>
    <tableColumn id="11" xr3:uid="{EDCD94D3-08DA-490B-9F54-39629ED832E5}" name="참여기관7" dataDxfId="18"/>
    <tableColumn id="12" xr3:uid="{21E3240F-FF2E-47A5-BD02-A9B8E70455F3}" name="참여기관8" dataDxfId="17"/>
    <tableColumn id="13" xr3:uid="{5C06363E-2DAB-4CBC-A7F9-20D8B026503F}" name="참여기관9" dataDxfId="16"/>
    <tableColumn id="14" xr3:uid="{BB0D0073-4AC3-4759-A7FC-17B3D6BBB5DE}" name="참여기관10" dataDxfId="15"/>
    <tableColumn id="15" xr3:uid="{A0F753FF-463B-4E59-A3FC-001FC9F25311}" name="참여기관11" dataDxfId="14"/>
    <tableColumn id="16" xr3:uid="{3924653D-2B03-47ED-B18B-E9A36924FE75}" name="참여기관12" dataDxfId="13"/>
    <tableColumn id="17" xr3:uid="{45589F13-8810-48CA-AEC3-A7379F4DBFE6}" name="참여기관13" dataDxfId="12"/>
    <tableColumn id="18" xr3:uid="{E1BE331B-6BC0-49FE-B8AE-39DA23471F26}" name="참여기관14" dataDxfId="11"/>
    <tableColumn id="19" xr3:uid="{44CB7DE0-A188-4269-AE90-A4364F87FE12}" name="참여기관15" dataDxfId="10"/>
    <tableColumn id="20" xr3:uid="{F7A768C5-DFFC-4993-95E6-B9D296CB77A2}" name="참여기관16" dataDxfId="9"/>
    <tableColumn id="21" xr3:uid="{55A86EF7-3930-4482-A5D3-45131968EF0C}" name="참여기관17" dataDxfId="8"/>
    <tableColumn id="22" xr3:uid="{0D2534DE-7DD1-4858-9D7F-00911A559A31}" name="참여기관18" dataDxfId="7"/>
    <tableColumn id="23" xr3:uid="{FCC47729-6FD7-400B-85E4-3867BC122AA6}" name="참여기관19" dataDxfId="6"/>
    <tableColumn id="24" xr3:uid="{FDD512AB-3734-4BDF-8D22-9AF2F40FC92D}" name="참여기관20" dataDxfId="5"/>
    <tableColumn id="25" xr3:uid="{D44F3114-18DE-4F1E-AE81-6FD358FE2103}" name="참여기관21" dataDxfId="4"/>
    <tableColumn id="26" xr3:uid="{4F9C6F52-4491-4AD7-8F3A-E8ABCF849E32}" name="참여기관22"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7C271A-35F4-42E8-855C-E896D3BE9BF7}" name="표6" displayName="표6" ref="A1:X166" totalsRowShown="0">
  <autoFilter ref="A1:X166" xr:uid="{9B5A8F33-3D7D-471D-8E47-D3E928D629FA}"/>
  <tableColumns count="24">
    <tableColumn id="24" xr3:uid="{E5C44E3E-0653-4D23-86A5-7B1BD52BE2C2}" name="연번" dataDxfId="2"/>
    <tableColumn id="1" xr3:uid="{22E8B4AF-607C-490F-95B0-60D4071DFD22}" name="작전명2" dataDxfId="1"/>
    <tableColumn id="2" xr3:uid="{744ED415-9689-484D-B22E-48AF190A60F0}" name="참여국가" dataDxfId="0"/>
    <tableColumn id="3" xr3:uid="{79B1E859-AE19-4810-A9F9-FDE43690D971}" name="참여국가2"/>
    <tableColumn id="4" xr3:uid="{FA51BF18-6B08-4D89-A2A9-025EBE767186}" name="참여국가3"/>
    <tableColumn id="5" xr3:uid="{C90DD82B-AF7D-4AEA-B76F-960DC801B00C}" name="참여국가4"/>
    <tableColumn id="6" xr3:uid="{B48295DF-0982-40B1-A228-3247180FD1A0}" name="참여국가5"/>
    <tableColumn id="7" xr3:uid="{0A565F61-E663-43ED-BF5B-4B8B811FC17D}" name="참여국가6"/>
    <tableColumn id="8" xr3:uid="{F60992B8-0B5F-43F6-8B3B-DB9A51EEC370}" name="참여국가7"/>
    <tableColumn id="9" xr3:uid="{6D5EB2B4-92F5-4E67-BD3B-0AB2D87FE064}" name="참여국가8"/>
    <tableColumn id="10" xr3:uid="{4F60C9DF-8532-46B7-949A-C141F4D526A7}" name="참여국가9"/>
    <tableColumn id="11" xr3:uid="{D307F58A-B210-4968-B7D3-1CDEE4553F58}" name="참여국가10"/>
    <tableColumn id="12" xr3:uid="{0AD2B8D1-1C05-4DF4-8955-0B4928FC2273}" name="참여국가11"/>
    <tableColumn id="13" xr3:uid="{30782165-7DE0-4425-8523-5F03F10A2D11}" name="참여국가12"/>
    <tableColumn id="14" xr3:uid="{7765F872-1000-4A9F-A2B4-5C864E82D5E9}" name="참여국가13"/>
    <tableColumn id="15" xr3:uid="{212EE392-99BE-4939-82CC-6D29DAB76C76}" name="참여국가14"/>
    <tableColumn id="16" xr3:uid="{B7C8AFE6-F9AE-4FEB-880E-34144A18401C}" name="참여국가15"/>
    <tableColumn id="17" xr3:uid="{94BDD32F-04E6-40C0-AEB0-93E44DE44C4D}" name="참여국가16"/>
    <tableColumn id="18" xr3:uid="{C292B739-828A-41FE-9BFF-DBDE9D30FFD3}" name="참여국가17"/>
    <tableColumn id="19" xr3:uid="{C00E9C7D-3075-40A5-9ABD-5C1BE8067147}" name="참여국가18"/>
    <tableColumn id="20" xr3:uid="{865CF0BF-08A3-4F2E-B091-3227EE431942}" name="참여국가19"/>
    <tableColumn id="21" xr3:uid="{ED841A9C-CB4C-4BF6-8797-277A26469B05}" name="참여국가20"/>
    <tableColumn id="22" xr3:uid="{B5C559AD-6089-4443-93A3-3C5175BA05A5}" name="참여국가21"/>
    <tableColumn id="23" xr3:uid="{ED8458D5-64D2-40AE-87F1-4A77AAB0202D}" name="참여국가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D1D429-BEA1-4F56-B8EB-498039A8F337}" name="표1_423" displayName="표1_423" ref="A1:O167" totalsRowCount="1" headerRowDxfId="81" dataDxfId="80">
  <autoFilter ref="A1:O166" xr:uid="{C86C0115-DE74-4162-B9E9-8E3BCDB16210}"/>
  <tableColumns count="15">
    <tableColumn id="15" xr3:uid="{8722533F-1121-41DA-AFF0-0971D6C321B3}" name="연번" dataDxfId="79" totalsRowDxfId="78"/>
    <tableColumn id="1" xr3:uid="{E0F90E2C-5171-421B-A73F-9543A4D2FB24}" name="작전명2" dataDxfId="77" totalsRowDxfId="76"/>
    <tableColumn id="4" xr3:uid="{27FDC7AD-1095-4950-86A2-A527A2E7F479}" name="죄명(한글)" dataDxfId="75" totalsRowDxfId="74"/>
    <tableColumn id="2" xr3:uid="{2A9D16DD-667B-4681-B81F-B1FA5E5DC69B}" name="죄명(한글)2" dataDxfId="73" totalsRowDxfId="72"/>
    <tableColumn id="3" xr3:uid="{947B071E-9159-4A9E-9E34-FD8AB803066E}" name="죄명(한글)3" dataDxfId="71" totalsRowDxfId="70"/>
    <tableColumn id="5" xr3:uid="{897E6340-3551-4455-9ACD-5166D642A9C2}" name="죄명(한글)4" dataDxfId="69" totalsRowDxfId="68"/>
    <tableColumn id="6" xr3:uid="{66802E60-0B3E-40C1-86AB-72B9F95C8397}" name="죄명(한글)5" dataDxfId="67" totalsRowDxfId="66"/>
    <tableColumn id="7" xr3:uid="{92DD8533-23CD-4B47-A3F6-6162BF05B80F}" name="죄명(한글)6" dataDxfId="65" totalsRowDxfId="64"/>
    <tableColumn id="8" xr3:uid="{D9BAAD8C-E907-4A58-ABD9-DEC92866F4BB}" name="죄명(한글)7" dataDxfId="63" totalsRowDxfId="62"/>
    <tableColumn id="9" xr3:uid="{3EB62D0D-0983-4534-8D33-513E4326F330}" name="죄명(한글)8" dataDxfId="61" totalsRowDxfId="60"/>
    <tableColumn id="10" xr3:uid="{A598B092-F908-4D3F-9798-0360665CF1BC}" name="죄명(한글)9" dataDxfId="59" totalsRowDxfId="58"/>
    <tableColumn id="11" xr3:uid="{580B97C5-7444-4A0A-8460-3D79D42E2DB3}" name="죄명(한글)10" dataDxfId="57" totalsRowDxfId="56"/>
    <tableColumn id="12" xr3:uid="{89E2D68F-A8D2-4178-B92D-A3BED9836831}" name="죄명(한글)11" dataDxfId="55" totalsRowDxfId="54"/>
    <tableColumn id="13" xr3:uid="{75F8AC6D-4354-4F35-9982-0730E049EAB8}" name="죄명(한글)12" dataDxfId="53" totalsRowDxfId="52"/>
    <tableColumn id="14" xr3:uid="{D612D477-390F-471C-BC27-3CE1520ED99D}" name="비고" totalsRowFunction="sum" dataDxfId="51" totalsRowDxfId="50">
      <calculatedColumnFormula>COUNTA(표1_423[[#This Row],[죄명(한글)]:[죄명(한글)12]])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rabnews.com/node/1141451/world" TargetMode="External"/><Relationship Id="rId13" Type="http://schemas.openxmlformats.org/officeDocument/2006/relationships/hyperlink" Target="https://thehackernews.com/2024/03/how-cybercriminals-are-exploiting.html" TargetMode="External"/><Relationship Id="rId3" Type="http://schemas.openxmlformats.org/officeDocument/2006/relationships/hyperlink" Target="https://news.sophos.com/en-us/2016/08/02/nigerian-scammer-arrested-for-60-million-email-fraud/" TargetMode="External"/><Relationship Id="rId7" Type="http://schemas.openxmlformats.org/officeDocument/2006/relationships/hyperlink" Target="https://time.com/4781809/ransomware-attack-north-korea-wannacry/" TargetMode="External"/><Relationship Id="rId12" Type="http://schemas.openxmlformats.org/officeDocument/2006/relationships/hyperlink" Target="https://www.europol.europa.eu/media-press/newsroom/news/mastermind-behind-eur-1-billion-cyber-bank-robbery-arrested-in-spain" TargetMode="External"/><Relationship Id="rId2" Type="http://schemas.openxmlformats.org/officeDocument/2006/relationships/hyperlink" Target="https://www.businessinsider.com/flashpoint-report-ransomware-2016-6" TargetMode="External"/><Relationship Id="rId16" Type="http://schemas.openxmlformats.org/officeDocument/2006/relationships/table" Target="../tables/table1.xml"/><Relationship Id="rId1" Type="http://schemas.openxmlformats.org/officeDocument/2006/relationships/hyperlink" Target="https://www.europol.europa.eu/media-press/newsroom/news/international-operation-dismantles-criminal-group-of-cyber-fraudsters" TargetMode="External"/><Relationship Id="rId6" Type="http://schemas.openxmlformats.org/officeDocument/2006/relationships/hyperlink" Target="https://www.freemalaysiatoday.com/category/nation/2017/04/24/interpol-finds-9000-compromised-websites" TargetMode="External"/><Relationship Id="rId11" Type="http://schemas.openxmlformats.org/officeDocument/2006/relationships/hyperlink" Target="https://www.vanguardngr.com/2018/06/efcc-fbi-partner-fight-cybercrime/" TargetMode="External"/><Relationship Id="rId5" Type="http://schemas.openxmlformats.org/officeDocument/2006/relationships/hyperlink" Target="https://www.bbc.com/news/uk-41240643" TargetMode="External"/><Relationship Id="rId15" Type="http://schemas.openxmlformats.org/officeDocument/2006/relationships/hyperlink" Target="https://www.gmanetwork.com/news/topstories/metro/676254/15-chinese-nationals-arrested-for-illegal-online-gambling/story/" TargetMode="External"/><Relationship Id="rId10" Type="http://schemas.openxmlformats.org/officeDocument/2006/relationships/hyperlink" Target="https://www.aljazeera.com/news/2017/6/7/qatar-reveals-preliminary-results-of-qna-hacking-probe" TargetMode="External"/><Relationship Id="rId4" Type="http://schemas.openxmlformats.org/officeDocument/2006/relationships/hyperlink" Target="https://www.walesonline.co.uk/news/wales-news/teenager-wales-charged-international-computer-11737455" TargetMode="External"/><Relationship Id="rId9" Type="http://schemas.openxmlformats.org/officeDocument/2006/relationships/hyperlink" Target="https://cyberscoop.com/money-taker-group-ib-banking-hack-russia/" TargetMode="External"/><Relationship Id="rId14" Type="http://schemas.openxmlformats.org/officeDocument/2006/relationships/hyperlink" Target="https://www.occrp.org/en/news/ransomware-kingpin-extradited-to-us-faces-decades-in-prison"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businessinsider.com/flashpoint-report-ransomware-2016-6" TargetMode="External"/><Relationship Id="rId18" Type="http://schemas.openxmlformats.org/officeDocument/2006/relationships/hyperlink" Target="https://www.walesonline.co.uk/news/wales-news/teenager-wales-charged-international-computer-11737455" TargetMode="External"/><Relationship Id="rId26" Type="http://schemas.openxmlformats.org/officeDocument/2006/relationships/hyperlink" Target="https://www.aljazeera.com/news/2017/6/7/qatar-reveals-preliminary-results-of-qna-hacking-probe" TargetMode="External"/><Relationship Id="rId39" Type="http://schemas.openxmlformats.org/officeDocument/2006/relationships/hyperlink" Target="https://www.occrp.org/en/news/ransomware-kingpin-extradited-to-us-faces-decades-in-prison" TargetMode="External"/><Relationship Id="rId21" Type="http://schemas.openxmlformats.org/officeDocument/2006/relationships/hyperlink" Target="https://www.freemalaysiatoday.com/category/nation/2017/04/24/interpol-finds-9000-compromised-websites" TargetMode="External"/><Relationship Id="rId34" Type="http://schemas.openxmlformats.org/officeDocument/2006/relationships/hyperlink" Target="https://thehackernews.com/2024/03/how-cybercriminals-are-exploiting.html" TargetMode="External"/><Relationship Id="rId7" Type="http://schemas.openxmlformats.org/officeDocument/2006/relationships/hyperlink" Target="https://www.fbi.gov/news/stories/cyber-criminal-forum-taken-down" TargetMode="External"/><Relationship Id="rId2" Type="http://schemas.openxmlformats.org/officeDocument/2006/relationships/hyperlink" Target="https://phys.org/news/2015-12-europe-trojan-horse-cybercrime.html" TargetMode="External"/><Relationship Id="rId16" Type="http://schemas.openxmlformats.org/officeDocument/2006/relationships/hyperlink" Target="https://www.interpol.int/News-and-Events/News/2016/Global-Airport-Action-Day-targets-airline-ticket-fraudsters" TargetMode="External"/><Relationship Id="rId20" Type="http://schemas.openxmlformats.org/officeDocument/2006/relationships/hyperlink" Target="https://www.bbc.com/news/uk-41240643" TargetMode="External"/><Relationship Id="rId29" Type="http://schemas.openxmlformats.org/officeDocument/2006/relationships/hyperlink" Target="https://www.europol.europa.eu/media-press/newsroom/news/mastermind-behind-eur-1-billion-cyber-bank-robbery-arrested-in-spain" TargetMode="External"/><Relationship Id="rId41" Type="http://schemas.openxmlformats.org/officeDocument/2006/relationships/table" Target="../tables/table2.xml"/><Relationship Id="rId1" Type="http://schemas.openxmlformats.org/officeDocument/2006/relationships/hyperlink" Target="https://www.wsj.com/articles/accused-mastermind-of-j-p-morgan-hack-a-product-of-israels-internet-underbelly-1448101982" TargetMode="External"/><Relationship Id="rId6" Type="http://schemas.openxmlformats.org/officeDocument/2006/relationships/hyperlink" Target="https://www.europol.europa.eu/media-press/newsroom/news/international-police-operation-targets-polymorphic-beebone-botnet" TargetMode="External"/><Relationship Id="rId11" Type="http://schemas.openxmlformats.org/officeDocument/2006/relationships/hyperlink" Target="https://www.fbi.gov/news/stories/international-cyber-sweep-nets-ddos-attackers" TargetMode="External"/><Relationship Id="rId24" Type="http://schemas.openxmlformats.org/officeDocument/2006/relationships/hyperlink" Target="https://cyberscoop.com/money-taker-group-ib-banking-hack-russia/" TargetMode="External"/><Relationship Id="rId32" Type="http://schemas.openxmlformats.org/officeDocument/2006/relationships/hyperlink" Target="https://the420.in/inside-nigerias-biggest-cybercrime-crackdown-nine-chinese-nationals-jailed-in-global-scam-ring/" TargetMode="External"/><Relationship Id="rId37" Type="http://schemas.openxmlformats.org/officeDocument/2006/relationships/hyperlink" Target="https://www.weforum.org/stories/2024/11/industry-experts-public-sector-are-disrupting-cybercriminals/" TargetMode="External"/><Relationship Id="rId40" Type="http://schemas.openxmlformats.org/officeDocument/2006/relationships/hyperlink" Target="https://www.gmanetwork.com/news/topstories/metro/676254/15-chinese-nationals-arrested-for-illegal-online-gambling/story/" TargetMode="External"/><Relationship Id="rId5" Type="http://schemas.openxmlformats.org/officeDocument/2006/relationships/hyperlink" Target="https://www.bbc.com/news/technology-31753934" TargetMode="External"/><Relationship Id="rId15" Type="http://schemas.openxmlformats.org/officeDocument/2006/relationships/hyperlink" Target="https://www.europol.europa.eu/media-press/newsroom/news/international-operation-ciconia-alba-kicks-to-crack-down-organised-crime" TargetMode="External"/><Relationship Id="rId23" Type="http://schemas.openxmlformats.org/officeDocument/2006/relationships/hyperlink" Target="https://www.arabnews.com/node/1141451/world" TargetMode="External"/><Relationship Id="rId28" Type="http://schemas.openxmlformats.org/officeDocument/2006/relationships/hyperlink" Target="https://www.vanguardngr.com/2018/06/efcc-fbi-partner-fight-cybercrime/" TargetMode="External"/><Relationship Id="rId36" Type="http://schemas.openxmlformats.org/officeDocument/2006/relationships/hyperlink" Target="https://therecord.media/russian-money-laundering-networks-trafficking-cybercrime-kremlin" TargetMode="External"/><Relationship Id="rId10" Type="http://schemas.openxmlformats.org/officeDocument/2006/relationships/hyperlink" Target="https://www.europol.europa.eu/media-press/newsroom/news/international-action-against-dd4bc-cybercriminal-group" TargetMode="External"/><Relationship Id="rId19" Type="http://schemas.openxmlformats.org/officeDocument/2006/relationships/hyperlink" Target="https://www.theguardian.com/technology/2017/jul/20/dark-web-marketplaces-alphabay-hansa-shut-down" TargetMode="External"/><Relationship Id="rId31" Type="http://schemas.openxmlformats.org/officeDocument/2006/relationships/hyperlink" Target="https://www.dawn.com/news/1911691" TargetMode="External"/><Relationship Id="rId4" Type="http://schemas.openxmlformats.org/officeDocument/2006/relationships/hyperlink" Target="https://www.europol.europa.eu/media-press/newsroom/news/international-operation-dismantles-criminal-group-of-cyber-fraudsters" TargetMode="External"/><Relationship Id="rId9" Type="http://schemas.openxmlformats.org/officeDocument/2006/relationships/hyperlink" Target="https://www.europol.europa.eu/media-press/newsroom/news/major-cybercrime-ring-dismantled-joint-investigation-team" TargetMode="External"/><Relationship Id="rId14" Type="http://schemas.openxmlformats.org/officeDocument/2006/relationships/hyperlink" Target="https://cyberscoop.com/dark-web-fbi-sting-zcash-operation-hyperion/" TargetMode="External"/><Relationship Id="rId22" Type="http://schemas.openxmlformats.org/officeDocument/2006/relationships/hyperlink" Target="https://time.com/4781809/ransomware-attack-north-korea-wannacry/" TargetMode="External"/><Relationship Id="rId27" Type="http://schemas.openxmlformats.org/officeDocument/2006/relationships/hyperlink" Target="https://cyberscoop.com/ctb-locker-cerber-ransomware-arrests-europol-mcafee/" TargetMode="External"/><Relationship Id="rId30" Type="http://schemas.openxmlformats.org/officeDocument/2006/relationships/hyperlink" Target="https://www.welivesecurity.com/2018/04/27/worlds-biggest-ddos-marketplace/" TargetMode="External"/><Relationship Id="rId35" Type="http://schemas.openxmlformats.org/officeDocument/2006/relationships/hyperlink" Target="https://www.indiatoday.in/programme/newstrack-with-rahul-kanwal/video/operation-cyber-slaves-india-today-exposes-ruthless-cybercrime-syndicates-top-focus-on-rahul-kanwals-show-2642515-2024-11-29" TargetMode="External"/><Relationship Id="rId8" Type="http://schemas.openxmlformats.org/officeDocument/2006/relationships/hyperlink" Target="https://www.bbc.com/news/technology-32218381" TargetMode="External"/><Relationship Id="rId3" Type="http://schemas.openxmlformats.org/officeDocument/2006/relationships/hyperlink" Target="https://www.bbc.com/news/technology-35028690" TargetMode="External"/><Relationship Id="rId12" Type="http://schemas.openxmlformats.org/officeDocument/2006/relationships/hyperlink" Target="https://www.ibtimes.co.uk/cybercrime-network-avalanche-brought-down-by-global-operation-1594519" TargetMode="External"/><Relationship Id="rId17" Type="http://schemas.openxmlformats.org/officeDocument/2006/relationships/hyperlink" Target="https://news.sophos.com/en-us/2016/08/02/nigerian-scammer-arrested-for-60-million-email-fraud/" TargetMode="External"/><Relationship Id="rId25" Type="http://schemas.openxmlformats.org/officeDocument/2006/relationships/hyperlink" Target="https://www.europol.europa.eu/media-press/newsroom/news/andromeda-botnet-dismantled-in-international-cyber-operation" TargetMode="External"/><Relationship Id="rId33" Type="http://schemas.openxmlformats.org/officeDocument/2006/relationships/hyperlink" Target="https://www.fbi.gov/contact-us/field-offices/seattle/news/stories/how-cyber-crime-group-fin7-attacked-and-stole-data-from-hundreds-of-us-companies" TargetMode="External"/><Relationship Id="rId38" Type="http://schemas.openxmlformats.org/officeDocument/2006/relationships/hyperlink" Target="https://www.coe.int/es/web/children/endocsea-europe/-/asset_publisher/KiKqVYLiqpEJ/content/how-do-we-prevent-and-combat-online-child-sexual-exploitation-and-abuse-"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A5DAD-FD55-4015-9259-FA331AE35FD5}">
  <dimension ref="A1:H68"/>
  <sheetViews>
    <sheetView tabSelected="1" zoomScaleNormal="100" workbookViewId="0">
      <pane ySplit="1" topLeftCell="A2" activePane="bottomLeft" state="frozen"/>
      <selection activeCell="C55" sqref="C55"/>
      <selection pane="bottomLeft" activeCell="A2" sqref="A2:A68"/>
    </sheetView>
  </sheetViews>
  <sheetFormatPr defaultColWidth="8.8984375" defaultRowHeight="15.6" x14ac:dyDescent="0.4"/>
  <cols>
    <col min="1" max="1" width="8.796875" style="1" bestFit="1" customWidth="1"/>
    <col min="2" max="2" width="8.19921875" style="2" bestFit="1" customWidth="1"/>
    <col min="3" max="3" width="29" style="2" customWidth="1"/>
    <col min="4" max="4" width="20.59765625" style="2" hidden="1" customWidth="1"/>
    <col min="5" max="5" width="23.296875" style="2" hidden="1" customWidth="1"/>
    <col min="6" max="6" width="5.3984375" style="2" hidden="1" customWidth="1"/>
    <col min="7" max="7" width="255.69921875" style="2" bestFit="1" customWidth="1"/>
    <col min="8" max="8" width="72.5" style="2" customWidth="1"/>
    <col min="9" max="11" width="8.8984375" style="2"/>
    <col min="12" max="13" width="9.796875" style="2" bestFit="1" customWidth="1"/>
    <col min="14" max="16384" width="8.8984375" style="2"/>
  </cols>
  <sheetData>
    <row r="1" spans="1:8" x14ac:dyDescent="0.4">
      <c r="A1" s="1" t="s">
        <v>425</v>
      </c>
      <c r="B1" s="2" t="s">
        <v>917</v>
      </c>
      <c r="C1" s="2" t="s">
        <v>918</v>
      </c>
      <c r="D1" s="2" t="s">
        <v>0</v>
      </c>
      <c r="E1" s="2" t="s">
        <v>919</v>
      </c>
      <c r="F1" s="2" t="s">
        <v>920</v>
      </c>
      <c r="G1" s="5" t="s">
        <v>921</v>
      </c>
      <c r="H1" s="2" t="s">
        <v>922</v>
      </c>
    </row>
    <row r="2" spans="1:8" x14ac:dyDescent="0.4">
      <c r="A2" s="1">
        <v>23</v>
      </c>
      <c r="B2" s="2">
        <v>2015</v>
      </c>
      <c r="C2" s="2" t="s">
        <v>28</v>
      </c>
      <c r="D2" s="2" t="s">
        <v>923</v>
      </c>
      <c r="E2" s="2" t="s">
        <v>924</v>
      </c>
      <c r="F2" s="2" t="s">
        <v>925</v>
      </c>
      <c r="G2" s="5" t="s">
        <v>926</v>
      </c>
      <c r="H2" s="6" t="s">
        <v>927</v>
      </c>
    </row>
    <row r="3" spans="1:8" x14ac:dyDescent="0.4">
      <c r="A3" s="1">
        <v>439</v>
      </c>
      <c r="B3" s="2">
        <v>2023</v>
      </c>
      <c r="C3" s="2" t="s">
        <v>367</v>
      </c>
      <c r="D3" s="2" t="s">
        <v>928</v>
      </c>
      <c r="E3" s="2" t="s">
        <v>929</v>
      </c>
      <c r="F3" s="2" t="s">
        <v>930</v>
      </c>
      <c r="G3" s="5" t="s">
        <v>931</v>
      </c>
      <c r="H3" s="6" t="s">
        <v>932</v>
      </c>
    </row>
    <row r="4" spans="1:8" x14ac:dyDescent="0.4">
      <c r="A4" s="1">
        <v>46</v>
      </c>
      <c r="B4" s="2">
        <v>2015</v>
      </c>
      <c r="C4" s="2" t="s">
        <v>53</v>
      </c>
      <c r="D4" s="2" t="s">
        <v>933</v>
      </c>
      <c r="E4" s="2" t="s">
        <v>934</v>
      </c>
      <c r="F4" s="2" t="s">
        <v>935</v>
      </c>
      <c r="G4" s="5" t="s">
        <v>936</v>
      </c>
      <c r="H4" s="6" t="s">
        <v>937</v>
      </c>
    </row>
    <row r="5" spans="1:8" x14ac:dyDescent="0.4">
      <c r="A5" s="1">
        <v>428</v>
      </c>
      <c r="B5" s="2">
        <v>2025</v>
      </c>
      <c r="C5" s="2" t="s">
        <v>365</v>
      </c>
      <c r="D5" s="2" t="s">
        <v>938</v>
      </c>
      <c r="E5" s="2" t="s">
        <v>939</v>
      </c>
      <c r="F5" s="2" t="s">
        <v>940</v>
      </c>
      <c r="G5" s="5" t="s">
        <v>941</v>
      </c>
      <c r="H5" s="6" t="s">
        <v>942</v>
      </c>
    </row>
    <row r="6" spans="1:8" x14ac:dyDescent="0.4">
      <c r="A6" s="1">
        <v>197</v>
      </c>
      <c r="B6" s="2">
        <v>2023</v>
      </c>
      <c r="C6" s="2" t="s">
        <v>184</v>
      </c>
      <c r="D6" s="2" t="s">
        <v>943</v>
      </c>
      <c r="E6" s="2" t="s">
        <v>944</v>
      </c>
      <c r="F6" s="2" t="s">
        <v>945</v>
      </c>
      <c r="G6" s="5" t="s">
        <v>946</v>
      </c>
      <c r="H6" s="6" t="s">
        <v>947</v>
      </c>
    </row>
    <row r="7" spans="1:8" x14ac:dyDescent="0.4">
      <c r="A7" s="1">
        <v>285</v>
      </c>
      <c r="B7" s="2">
        <v>2022</v>
      </c>
      <c r="C7" s="2" t="s">
        <v>266</v>
      </c>
      <c r="D7" s="2" t="s">
        <v>948</v>
      </c>
      <c r="E7" s="2" t="s">
        <v>949</v>
      </c>
      <c r="F7" s="2" t="s">
        <v>950</v>
      </c>
      <c r="G7" s="5" t="s">
        <v>951</v>
      </c>
      <c r="H7" s="6" t="s">
        <v>952</v>
      </c>
    </row>
    <row r="8" spans="1:8" x14ac:dyDescent="0.4">
      <c r="A8" s="1">
        <v>61</v>
      </c>
      <c r="B8" s="2">
        <v>2016</v>
      </c>
      <c r="C8" s="2" t="s">
        <v>64</v>
      </c>
      <c r="D8" s="2" t="s">
        <v>953</v>
      </c>
      <c r="E8" s="2" t="s">
        <v>954</v>
      </c>
      <c r="F8" s="2" t="s">
        <v>955</v>
      </c>
      <c r="G8" s="5" t="s">
        <v>956</v>
      </c>
      <c r="H8" s="6" t="s">
        <v>957</v>
      </c>
    </row>
    <row r="9" spans="1:8" x14ac:dyDescent="0.4">
      <c r="A9" s="1">
        <v>73</v>
      </c>
      <c r="B9" s="2">
        <v>2017</v>
      </c>
      <c r="C9" s="2" t="s">
        <v>67</v>
      </c>
      <c r="D9" s="2" t="s">
        <v>958</v>
      </c>
      <c r="E9" s="2" t="s">
        <v>959</v>
      </c>
      <c r="F9" s="2" t="s">
        <v>960</v>
      </c>
      <c r="G9" s="5" t="s">
        <v>961</v>
      </c>
      <c r="H9" s="6" t="s">
        <v>962</v>
      </c>
    </row>
    <row r="10" spans="1:8" x14ac:dyDescent="0.4">
      <c r="A10" s="1">
        <v>84</v>
      </c>
      <c r="B10" s="2">
        <v>2021</v>
      </c>
      <c r="C10" s="2" t="s">
        <v>70</v>
      </c>
      <c r="D10" s="2" t="s">
        <v>963</v>
      </c>
      <c r="E10" s="2" t="s">
        <v>964</v>
      </c>
      <c r="F10" s="2" t="s">
        <v>965</v>
      </c>
      <c r="G10" s="5" t="s">
        <v>966</v>
      </c>
      <c r="H10" s="6" t="s">
        <v>967</v>
      </c>
    </row>
    <row r="11" spans="1:8" x14ac:dyDescent="0.4">
      <c r="A11" s="1">
        <v>87</v>
      </c>
      <c r="B11" s="2">
        <v>2017</v>
      </c>
      <c r="C11" s="2" t="s">
        <v>75</v>
      </c>
      <c r="D11" s="2" t="s">
        <v>968</v>
      </c>
      <c r="E11" s="2" t="s">
        <v>969</v>
      </c>
      <c r="F11" s="2" t="s">
        <v>970</v>
      </c>
      <c r="G11" s="4" t="s">
        <v>971</v>
      </c>
      <c r="H11" s="6" t="s">
        <v>972</v>
      </c>
    </row>
    <row r="12" spans="1:8" x14ac:dyDescent="0.4">
      <c r="A12" s="1">
        <v>88</v>
      </c>
      <c r="B12" s="2">
        <v>2017</v>
      </c>
      <c r="C12" s="2" t="s">
        <v>78</v>
      </c>
      <c r="D12" s="2" t="s">
        <v>973</v>
      </c>
      <c r="E12" s="2" t="s">
        <v>974</v>
      </c>
      <c r="F12" s="2" t="s">
        <v>975</v>
      </c>
      <c r="G12" s="5" t="s">
        <v>976</v>
      </c>
      <c r="H12" s="6" t="s">
        <v>977</v>
      </c>
    </row>
    <row r="13" spans="1:8" x14ac:dyDescent="0.4">
      <c r="A13" s="1">
        <v>89</v>
      </c>
      <c r="B13" s="2">
        <v>2017</v>
      </c>
      <c r="C13" s="2" t="s">
        <v>80</v>
      </c>
      <c r="D13" s="4" t="s">
        <v>207</v>
      </c>
      <c r="E13" s="2" t="s">
        <v>978</v>
      </c>
      <c r="F13" s="2" t="s">
        <v>979</v>
      </c>
      <c r="G13" s="5" t="s">
        <v>980</v>
      </c>
      <c r="H13" s="6" t="s">
        <v>981</v>
      </c>
    </row>
    <row r="14" spans="1:8" x14ac:dyDescent="0.4">
      <c r="A14" s="1">
        <v>94</v>
      </c>
      <c r="B14" s="2">
        <v>2017</v>
      </c>
      <c r="C14" s="2" t="s">
        <v>81</v>
      </c>
      <c r="D14" s="2" t="s">
        <v>982</v>
      </c>
      <c r="E14" s="2" t="s">
        <v>983</v>
      </c>
      <c r="F14" s="2" t="s">
        <v>984</v>
      </c>
      <c r="G14" s="5" t="s">
        <v>985</v>
      </c>
      <c r="H14" s="6" t="s">
        <v>986</v>
      </c>
    </row>
    <row r="15" spans="1:8" x14ac:dyDescent="0.4">
      <c r="A15" s="1">
        <v>97</v>
      </c>
      <c r="B15" s="2">
        <v>2018</v>
      </c>
      <c r="C15" s="2" t="s">
        <v>83</v>
      </c>
      <c r="D15" s="2" t="s">
        <v>987</v>
      </c>
      <c r="E15" s="2" t="s">
        <v>988</v>
      </c>
      <c r="F15" s="2" t="s">
        <v>989</v>
      </c>
      <c r="G15" s="5" t="s">
        <v>990</v>
      </c>
      <c r="H15" s="6" t="s">
        <v>991</v>
      </c>
    </row>
    <row r="16" spans="1:8" x14ac:dyDescent="0.4">
      <c r="A16" s="1">
        <v>100</v>
      </c>
      <c r="B16" s="2">
        <v>2017</v>
      </c>
      <c r="C16" s="2" t="s">
        <v>89</v>
      </c>
      <c r="D16" s="2" t="s">
        <v>992</v>
      </c>
      <c r="E16" s="2" t="s">
        <v>993</v>
      </c>
      <c r="F16" s="2" t="s">
        <v>994</v>
      </c>
      <c r="G16" s="5" t="s">
        <v>995</v>
      </c>
      <c r="H16" s="6" t="s">
        <v>996</v>
      </c>
    </row>
    <row r="17" spans="1:8" x14ac:dyDescent="0.4">
      <c r="A17" s="1">
        <v>111</v>
      </c>
      <c r="B17" s="2">
        <v>2018</v>
      </c>
      <c r="C17" s="2" t="s">
        <v>95</v>
      </c>
      <c r="D17" s="2" t="s">
        <v>997</v>
      </c>
      <c r="E17" s="2" t="s">
        <v>998</v>
      </c>
      <c r="F17" s="2" t="s">
        <v>999</v>
      </c>
      <c r="G17" s="2" t="s">
        <v>1000</v>
      </c>
      <c r="H17" s="6" t="s">
        <v>1001</v>
      </c>
    </row>
    <row r="18" spans="1:8" x14ac:dyDescent="0.4">
      <c r="A18" s="1">
        <v>112</v>
      </c>
      <c r="B18" s="2">
        <v>2018</v>
      </c>
      <c r="C18" s="2" t="s">
        <v>97</v>
      </c>
      <c r="D18" s="2" t="s">
        <v>1002</v>
      </c>
      <c r="E18" s="2" t="s">
        <v>1003</v>
      </c>
      <c r="F18" s="2" t="s">
        <v>1004</v>
      </c>
      <c r="G18" s="5" t="s">
        <v>1005</v>
      </c>
      <c r="H18" s="6" t="s">
        <v>1006</v>
      </c>
    </row>
    <row r="19" spans="1:8" x14ac:dyDescent="0.4">
      <c r="A19" s="1">
        <v>121</v>
      </c>
      <c r="B19" s="2">
        <v>2018</v>
      </c>
      <c r="C19" s="2" t="s">
        <v>99</v>
      </c>
      <c r="D19" s="2" t="s">
        <v>1007</v>
      </c>
      <c r="E19" s="2" t="s">
        <v>1008</v>
      </c>
      <c r="F19" s="2" t="s">
        <v>1009</v>
      </c>
      <c r="G19" s="5" t="s">
        <v>1010</v>
      </c>
      <c r="H19" s="6" t="s">
        <v>1011</v>
      </c>
    </row>
    <row r="20" spans="1:8" x14ac:dyDescent="0.4">
      <c r="A20" s="1">
        <v>122</v>
      </c>
      <c r="B20" s="2">
        <v>2018</v>
      </c>
      <c r="C20" s="2" t="s">
        <v>101</v>
      </c>
      <c r="D20" s="2" t="s">
        <v>1012</v>
      </c>
      <c r="E20" s="2" t="s">
        <v>1013</v>
      </c>
      <c r="F20" s="2" t="s">
        <v>1014</v>
      </c>
      <c r="G20" s="5" t="s">
        <v>1015</v>
      </c>
      <c r="H20" s="6" t="s">
        <v>1016</v>
      </c>
    </row>
    <row r="21" spans="1:8" x14ac:dyDescent="0.4">
      <c r="A21" s="1">
        <v>134</v>
      </c>
      <c r="B21" s="2">
        <v>2018</v>
      </c>
      <c r="C21" s="2" t="s">
        <v>107</v>
      </c>
      <c r="D21" s="2" t="s">
        <v>1017</v>
      </c>
      <c r="E21" s="2" t="s">
        <v>1018</v>
      </c>
      <c r="F21" s="2" t="s">
        <v>1019</v>
      </c>
      <c r="G21" s="5" t="s">
        <v>1020</v>
      </c>
      <c r="H21" s="6" t="s">
        <v>1021</v>
      </c>
    </row>
    <row r="22" spans="1:8" x14ac:dyDescent="0.4">
      <c r="A22" s="1">
        <v>135</v>
      </c>
      <c r="B22" s="2">
        <v>2018</v>
      </c>
      <c r="C22" s="2" t="s">
        <v>109</v>
      </c>
      <c r="D22" s="2" t="s">
        <v>1022</v>
      </c>
      <c r="E22" s="2" t="s">
        <v>1023</v>
      </c>
      <c r="F22" s="2" t="s">
        <v>1024</v>
      </c>
      <c r="G22" s="5" t="s">
        <v>1025</v>
      </c>
      <c r="H22" s="6" t="s">
        <v>1026</v>
      </c>
    </row>
    <row r="23" spans="1:8" x14ac:dyDescent="0.4">
      <c r="A23" s="1">
        <v>147</v>
      </c>
      <c r="B23" s="2">
        <v>2018</v>
      </c>
      <c r="C23" s="2" t="s">
        <v>118</v>
      </c>
      <c r="D23" s="2" t="s">
        <v>1027</v>
      </c>
      <c r="E23" s="2" t="s">
        <v>1028</v>
      </c>
      <c r="F23" s="2" t="s">
        <v>1029</v>
      </c>
      <c r="G23" s="5" t="s">
        <v>1030</v>
      </c>
      <c r="H23" s="6" t="s">
        <v>1031</v>
      </c>
    </row>
    <row r="24" spans="1:8" x14ac:dyDescent="0.4">
      <c r="A24" s="1">
        <v>150</v>
      </c>
      <c r="B24" s="2">
        <v>2019</v>
      </c>
      <c r="C24" s="2" t="s">
        <v>120</v>
      </c>
      <c r="D24" s="2" t="s">
        <v>1032</v>
      </c>
      <c r="E24" s="2" t="s">
        <v>1033</v>
      </c>
      <c r="F24" s="2" t="s">
        <v>1034</v>
      </c>
      <c r="G24" s="5" t="s">
        <v>1035</v>
      </c>
      <c r="H24" s="6" t="s">
        <v>1036</v>
      </c>
    </row>
    <row r="25" spans="1:8" x14ac:dyDescent="0.4">
      <c r="A25" s="1">
        <v>153</v>
      </c>
      <c r="B25" s="2">
        <v>2019</v>
      </c>
      <c r="C25" s="2" t="s">
        <v>125</v>
      </c>
      <c r="D25" s="2" t="s">
        <v>1037</v>
      </c>
      <c r="E25" s="2" t="s">
        <v>1038</v>
      </c>
      <c r="F25" s="2" t="s">
        <v>1039</v>
      </c>
      <c r="G25" s="5" t="s">
        <v>1040</v>
      </c>
      <c r="H25" s="6" t="s">
        <v>1041</v>
      </c>
    </row>
    <row r="26" spans="1:8" x14ac:dyDescent="0.4">
      <c r="A26" s="1">
        <v>160</v>
      </c>
      <c r="B26" s="2">
        <v>2019</v>
      </c>
      <c r="C26" s="2" t="s">
        <v>152</v>
      </c>
      <c r="D26" s="2" t="s">
        <v>1042</v>
      </c>
      <c r="E26" s="2" t="s">
        <v>1043</v>
      </c>
      <c r="F26" s="2" t="s">
        <v>999</v>
      </c>
      <c r="G26" s="5" t="s">
        <v>1044</v>
      </c>
      <c r="H26" s="6" t="s">
        <v>1045</v>
      </c>
    </row>
    <row r="27" spans="1:8" x14ac:dyDescent="0.4">
      <c r="A27" s="1">
        <v>184</v>
      </c>
      <c r="B27" s="2">
        <v>2020</v>
      </c>
      <c r="C27" s="2" t="s">
        <v>175</v>
      </c>
      <c r="D27" s="2" t="s">
        <v>1046</v>
      </c>
      <c r="E27" s="2" t="s">
        <v>1047</v>
      </c>
      <c r="F27" s="2" t="s">
        <v>1048</v>
      </c>
      <c r="G27" s="5" t="s">
        <v>1049</v>
      </c>
      <c r="H27" s="6" t="s">
        <v>1050</v>
      </c>
    </row>
    <row r="28" spans="1:8" x14ac:dyDescent="0.4">
      <c r="A28" s="1">
        <v>194</v>
      </c>
      <c r="B28" s="2">
        <v>2020</v>
      </c>
      <c r="C28" s="2" t="s">
        <v>179</v>
      </c>
      <c r="D28" s="2" t="s">
        <v>1051</v>
      </c>
      <c r="E28" s="2" t="s">
        <v>1052</v>
      </c>
      <c r="F28" s="2" t="s">
        <v>1053</v>
      </c>
      <c r="G28" s="5" t="s">
        <v>1054</v>
      </c>
      <c r="H28" s="6" t="s">
        <v>1055</v>
      </c>
    </row>
    <row r="29" spans="1:8" x14ac:dyDescent="0.4">
      <c r="A29" s="1">
        <v>213</v>
      </c>
      <c r="B29" s="2">
        <v>2021</v>
      </c>
      <c r="C29" s="2" t="s">
        <v>1056</v>
      </c>
      <c r="D29" s="2" t="s">
        <v>1057</v>
      </c>
      <c r="E29" s="2" t="s">
        <v>1058</v>
      </c>
      <c r="F29" s="2" t="s">
        <v>1059</v>
      </c>
      <c r="G29" s="5" t="s">
        <v>1060</v>
      </c>
      <c r="H29" s="6" t="s">
        <v>1061</v>
      </c>
    </row>
    <row r="30" spans="1:8" x14ac:dyDescent="0.4">
      <c r="A30" s="1">
        <v>214</v>
      </c>
      <c r="B30" s="2">
        <v>2021</v>
      </c>
      <c r="C30" s="2" t="s">
        <v>209</v>
      </c>
      <c r="D30" s="2" t="s">
        <v>1062</v>
      </c>
      <c r="E30" s="2" t="s">
        <v>1063</v>
      </c>
      <c r="F30" s="2" t="s">
        <v>1064</v>
      </c>
      <c r="G30" s="5" t="s">
        <v>1065</v>
      </c>
      <c r="H30" s="6" t="s">
        <v>1066</v>
      </c>
    </row>
    <row r="31" spans="1:8" x14ac:dyDescent="0.4">
      <c r="A31" s="1">
        <v>215</v>
      </c>
      <c r="B31" s="2">
        <v>2022</v>
      </c>
      <c r="C31" s="2" t="s">
        <v>210</v>
      </c>
      <c r="D31" s="2" t="s">
        <v>1067</v>
      </c>
      <c r="E31" s="2" t="s">
        <v>1068</v>
      </c>
      <c r="F31" s="2" t="s">
        <v>1069</v>
      </c>
      <c r="G31" s="5" t="s">
        <v>1070</v>
      </c>
      <c r="H31" s="6" t="s">
        <v>1071</v>
      </c>
    </row>
    <row r="32" spans="1:8" x14ac:dyDescent="0.4">
      <c r="A32" s="1">
        <v>226</v>
      </c>
      <c r="B32" s="2">
        <v>2022</v>
      </c>
      <c r="C32" s="2" t="s">
        <v>218</v>
      </c>
      <c r="D32" s="2" t="s">
        <v>1072</v>
      </c>
      <c r="E32" s="2" t="s">
        <v>1073</v>
      </c>
      <c r="F32" s="2" t="s">
        <v>1074</v>
      </c>
      <c r="G32" s="5" t="s">
        <v>1075</v>
      </c>
      <c r="H32" s="6" t="s">
        <v>1076</v>
      </c>
    </row>
    <row r="33" spans="1:8" x14ac:dyDescent="0.4">
      <c r="A33" s="1">
        <v>232</v>
      </c>
      <c r="B33" s="2">
        <v>2022</v>
      </c>
      <c r="C33" s="2" t="s">
        <v>229</v>
      </c>
      <c r="D33" s="2" t="s">
        <v>1077</v>
      </c>
      <c r="E33" s="2" t="s">
        <v>1078</v>
      </c>
      <c r="F33" s="2" t="s">
        <v>1079</v>
      </c>
      <c r="G33" s="5" t="s">
        <v>1080</v>
      </c>
      <c r="H33" s="6" t="s">
        <v>1081</v>
      </c>
    </row>
    <row r="34" spans="1:8" x14ac:dyDescent="0.4">
      <c r="A34" s="1">
        <v>237</v>
      </c>
      <c r="B34" s="2">
        <v>2022</v>
      </c>
      <c r="C34" s="2" t="s">
        <v>235</v>
      </c>
      <c r="D34" s="2" t="s">
        <v>1082</v>
      </c>
      <c r="E34" s="2" t="s">
        <v>1083</v>
      </c>
      <c r="F34" s="2" t="s">
        <v>1084</v>
      </c>
      <c r="G34" s="5" t="s">
        <v>1085</v>
      </c>
      <c r="H34" s="6" t="s">
        <v>1086</v>
      </c>
    </row>
    <row r="35" spans="1:8" x14ac:dyDescent="0.4">
      <c r="A35" s="1">
        <v>244</v>
      </c>
      <c r="B35" s="2">
        <v>2023</v>
      </c>
      <c r="C35" s="2" t="s">
        <v>242</v>
      </c>
      <c r="D35" s="2" t="s">
        <v>1087</v>
      </c>
      <c r="E35" s="2" t="s">
        <v>1088</v>
      </c>
      <c r="F35" s="2" t="s">
        <v>1089</v>
      </c>
      <c r="G35" s="5" t="s">
        <v>1090</v>
      </c>
      <c r="H35" s="6" t="s">
        <v>1091</v>
      </c>
    </row>
    <row r="36" spans="1:8" x14ac:dyDescent="0.4">
      <c r="A36" s="1">
        <v>263</v>
      </c>
      <c r="B36" s="2">
        <v>2023</v>
      </c>
      <c r="C36" s="2" t="s">
        <v>258</v>
      </c>
      <c r="D36" s="2" t="s">
        <v>1092</v>
      </c>
      <c r="E36" s="2" t="s">
        <v>1093</v>
      </c>
      <c r="F36" s="2" t="s">
        <v>1094</v>
      </c>
      <c r="G36" s="5" t="s">
        <v>1095</v>
      </c>
      <c r="H36" s="6" t="s">
        <v>1096</v>
      </c>
    </row>
    <row r="37" spans="1:8" x14ac:dyDescent="0.4">
      <c r="A37" s="1">
        <v>264</v>
      </c>
      <c r="B37" s="2">
        <v>2023</v>
      </c>
      <c r="C37" s="2" t="s">
        <v>260</v>
      </c>
      <c r="D37" s="2" t="s">
        <v>1097</v>
      </c>
      <c r="E37" s="2" t="s">
        <v>1098</v>
      </c>
      <c r="F37" s="2" t="s">
        <v>1099</v>
      </c>
      <c r="G37" s="5" t="s">
        <v>1100</v>
      </c>
      <c r="H37" s="6" t="s">
        <v>1101</v>
      </c>
    </row>
    <row r="38" spans="1:8" x14ac:dyDescent="0.4">
      <c r="A38" s="1">
        <v>306</v>
      </c>
      <c r="B38" s="2">
        <v>2024</v>
      </c>
      <c r="C38" s="2" t="s">
        <v>274</v>
      </c>
      <c r="D38" s="2" t="s">
        <v>1102</v>
      </c>
      <c r="E38" s="2" t="s">
        <v>1103</v>
      </c>
      <c r="F38" s="2" t="s">
        <v>1104</v>
      </c>
      <c r="G38" s="5" t="s">
        <v>1105</v>
      </c>
      <c r="H38" s="6" t="s">
        <v>1106</v>
      </c>
    </row>
    <row r="39" spans="1:8" x14ac:dyDescent="0.4">
      <c r="A39" s="1">
        <v>307</v>
      </c>
      <c r="B39" s="2">
        <v>2023</v>
      </c>
      <c r="C39" s="2" t="s">
        <v>279</v>
      </c>
      <c r="D39" s="2" t="s">
        <v>1107</v>
      </c>
      <c r="E39" s="2" t="s">
        <v>1108</v>
      </c>
      <c r="F39" s="2" t="s">
        <v>1109</v>
      </c>
      <c r="G39" s="5" t="s">
        <v>1110</v>
      </c>
      <c r="H39" s="6" t="s">
        <v>1111</v>
      </c>
    </row>
    <row r="40" spans="1:8" x14ac:dyDescent="0.4">
      <c r="A40" s="1">
        <v>320</v>
      </c>
      <c r="B40" s="2">
        <v>2024</v>
      </c>
      <c r="C40" s="2" t="s">
        <v>288</v>
      </c>
      <c r="D40" s="2" t="s">
        <v>1112</v>
      </c>
      <c r="E40" s="2" t="s">
        <v>1113</v>
      </c>
      <c r="F40" s="2" t="s">
        <v>1114</v>
      </c>
      <c r="G40" s="5" t="s">
        <v>1115</v>
      </c>
      <c r="H40" s="6" t="s">
        <v>1116</v>
      </c>
    </row>
    <row r="41" spans="1:8" x14ac:dyDescent="0.4">
      <c r="A41" s="1">
        <v>324</v>
      </c>
      <c r="B41" s="2">
        <v>2024</v>
      </c>
      <c r="C41" s="2" t="s">
        <v>290</v>
      </c>
      <c r="D41" s="2" t="s">
        <v>1117</v>
      </c>
      <c r="E41" s="2" t="s">
        <v>1118</v>
      </c>
      <c r="F41" s="2" t="s">
        <v>1119</v>
      </c>
      <c r="G41" s="5" t="s">
        <v>1120</v>
      </c>
      <c r="H41" s="6" t="s">
        <v>1121</v>
      </c>
    </row>
    <row r="42" spans="1:8" x14ac:dyDescent="0.4">
      <c r="A42" s="1">
        <v>327</v>
      </c>
      <c r="B42" s="2">
        <v>2023</v>
      </c>
      <c r="C42" s="2" t="s">
        <v>293</v>
      </c>
      <c r="D42" s="2" t="s">
        <v>1122</v>
      </c>
      <c r="E42" s="2" t="s">
        <v>1123</v>
      </c>
      <c r="F42" s="2" t="s">
        <v>1124</v>
      </c>
      <c r="G42" s="5" t="s">
        <v>1125</v>
      </c>
      <c r="H42" s="6" t="s">
        <v>1126</v>
      </c>
    </row>
    <row r="43" spans="1:8" x14ac:dyDescent="0.4">
      <c r="A43" s="1">
        <v>339</v>
      </c>
      <c r="B43" s="2">
        <v>2024</v>
      </c>
      <c r="C43" s="2" t="s">
        <v>299</v>
      </c>
      <c r="D43" s="2" t="s">
        <v>1127</v>
      </c>
      <c r="E43" s="2" t="s">
        <v>1128</v>
      </c>
      <c r="F43" s="2" t="s">
        <v>1129</v>
      </c>
      <c r="G43" s="5" t="s">
        <v>1130</v>
      </c>
      <c r="H43" s="6" t="s">
        <v>1131</v>
      </c>
    </row>
    <row r="44" spans="1:8" x14ac:dyDescent="0.4">
      <c r="A44" s="1">
        <v>341</v>
      </c>
      <c r="B44" s="2">
        <v>2024</v>
      </c>
      <c r="C44" s="2" t="s">
        <v>304</v>
      </c>
      <c r="D44" s="2" t="s">
        <v>1132</v>
      </c>
      <c r="E44" s="2" t="s">
        <v>1133</v>
      </c>
      <c r="F44" s="2" t="s">
        <v>1134</v>
      </c>
      <c r="G44" s="5" t="s">
        <v>1135</v>
      </c>
      <c r="H44" s="6" t="s">
        <v>1136</v>
      </c>
    </row>
    <row r="45" spans="1:8" x14ac:dyDescent="0.4">
      <c r="A45" s="1">
        <v>353</v>
      </c>
      <c r="B45" s="2">
        <v>2024</v>
      </c>
      <c r="C45" s="2" t="s">
        <v>314</v>
      </c>
      <c r="D45" s="2" t="s">
        <v>1137</v>
      </c>
      <c r="E45" s="2" t="s">
        <v>1138</v>
      </c>
      <c r="F45" s="2" t="s">
        <v>1139</v>
      </c>
      <c r="G45" s="5" t="s">
        <v>1140</v>
      </c>
      <c r="H45" s="6" t="s">
        <v>1141</v>
      </c>
    </row>
    <row r="46" spans="1:8" x14ac:dyDescent="0.4">
      <c r="A46" s="1">
        <v>354</v>
      </c>
      <c r="B46" s="2">
        <v>2024</v>
      </c>
      <c r="C46" s="2" t="s">
        <v>315</v>
      </c>
      <c r="D46" s="2" t="s">
        <v>1142</v>
      </c>
      <c r="E46" s="2" t="s">
        <v>1143</v>
      </c>
      <c r="F46" s="2" t="s">
        <v>1144</v>
      </c>
      <c r="G46" s="5" t="s">
        <v>1145</v>
      </c>
      <c r="H46" s="6" t="s">
        <v>1146</v>
      </c>
    </row>
    <row r="47" spans="1:8" ht="17.399999999999999" x14ac:dyDescent="0.4">
      <c r="A47" s="1">
        <v>358</v>
      </c>
      <c r="B47" s="2">
        <v>2022</v>
      </c>
      <c r="C47" s="2" t="s">
        <v>318</v>
      </c>
      <c r="D47" s="2" t="s">
        <v>1147</v>
      </c>
      <c r="E47" s="2" t="s">
        <v>1148</v>
      </c>
      <c r="F47" s="2" t="s">
        <v>1149</v>
      </c>
      <c r="G47" s="5" t="s">
        <v>1150</v>
      </c>
      <c r="H47" s="7" t="s">
        <v>1151</v>
      </c>
    </row>
    <row r="48" spans="1:8" x14ac:dyDescent="0.4">
      <c r="A48" s="1">
        <v>359</v>
      </c>
      <c r="B48" s="2">
        <v>2024</v>
      </c>
      <c r="C48" s="2" t="s">
        <v>320</v>
      </c>
      <c r="D48" s="2" t="s">
        <v>1152</v>
      </c>
      <c r="E48" s="2" t="s">
        <v>1153</v>
      </c>
      <c r="F48" s="2" t="s">
        <v>1154</v>
      </c>
      <c r="G48" s="4" t="s">
        <v>1155</v>
      </c>
      <c r="H48" s="6" t="s">
        <v>1156</v>
      </c>
    </row>
    <row r="49" spans="1:8" x14ac:dyDescent="0.4">
      <c r="A49" s="1">
        <v>368</v>
      </c>
      <c r="B49" s="2">
        <v>2023</v>
      </c>
      <c r="C49" s="2" t="s">
        <v>322</v>
      </c>
      <c r="D49" s="2" t="s">
        <v>1157</v>
      </c>
      <c r="E49" s="2" t="s">
        <v>1158</v>
      </c>
      <c r="F49" s="2" t="s">
        <v>1159</v>
      </c>
      <c r="G49" s="5" t="s">
        <v>1160</v>
      </c>
      <c r="H49" s="6" t="s">
        <v>1161</v>
      </c>
    </row>
    <row r="50" spans="1:8" x14ac:dyDescent="0.4">
      <c r="A50" s="1">
        <v>369</v>
      </c>
      <c r="B50" s="2">
        <v>2024</v>
      </c>
      <c r="C50" s="2" t="s">
        <v>324</v>
      </c>
      <c r="D50" s="4" t="s">
        <v>1162</v>
      </c>
      <c r="E50" s="2" t="s">
        <v>1163</v>
      </c>
      <c r="F50" s="2" t="s">
        <v>1164</v>
      </c>
      <c r="G50" s="5" t="s">
        <v>1165</v>
      </c>
      <c r="H50" s="6" t="s">
        <v>1166</v>
      </c>
    </row>
    <row r="51" spans="1:8" x14ac:dyDescent="0.4">
      <c r="A51" s="1">
        <v>371</v>
      </c>
      <c r="B51" s="2">
        <v>2024</v>
      </c>
      <c r="C51" s="2" t="s">
        <v>328</v>
      </c>
      <c r="D51" s="2" t="s">
        <v>1167</v>
      </c>
      <c r="E51" s="2" t="s">
        <v>1168</v>
      </c>
      <c r="F51" s="2" t="s">
        <v>1169</v>
      </c>
      <c r="G51" s="5" t="s">
        <v>1170</v>
      </c>
      <c r="H51" s="6" t="s">
        <v>1171</v>
      </c>
    </row>
    <row r="52" spans="1:8" x14ac:dyDescent="0.4">
      <c r="A52" s="1">
        <v>376</v>
      </c>
      <c r="B52" s="2">
        <v>2024</v>
      </c>
      <c r="C52" s="2" t="s">
        <v>331</v>
      </c>
      <c r="D52" s="2" t="s">
        <v>1172</v>
      </c>
      <c r="E52" s="2" t="s">
        <v>1173</v>
      </c>
      <c r="F52" s="2" t="s">
        <v>1174</v>
      </c>
      <c r="G52" s="5" t="s">
        <v>1175</v>
      </c>
      <c r="H52" s="6" t="s">
        <v>1176</v>
      </c>
    </row>
    <row r="53" spans="1:8" x14ac:dyDescent="0.4">
      <c r="A53" s="1">
        <v>380</v>
      </c>
      <c r="B53" s="2">
        <v>2024</v>
      </c>
      <c r="C53" s="2" t="s">
        <v>339</v>
      </c>
      <c r="D53" s="2" t="s">
        <v>1177</v>
      </c>
      <c r="E53" s="2" t="s">
        <v>1178</v>
      </c>
      <c r="F53" s="2" t="s">
        <v>1179</v>
      </c>
      <c r="G53" s="5" t="s">
        <v>1180</v>
      </c>
      <c r="H53" s="6" t="s">
        <v>1181</v>
      </c>
    </row>
    <row r="54" spans="1:8" x14ac:dyDescent="0.4">
      <c r="A54" s="1">
        <v>383</v>
      </c>
      <c r="B54" s="2">
        <v>2024</v>
      </c>
      <c r="C54" s="2" t="s">
        <v>341</v>
      </c>
      <c r="D54" s="2" t="s">
        <v>1182</v>
      </c>
      <c r="E54" s="2" t="s">
        <v>1183</v>
      </c>
      <c r="F54" s="2" t="s">
        <v>1184</v>
      </c>
      <c r="G54" s="5" t="s">
        <v>1185</v>
      </c>
      <c r="H54" s="6" t="s">
        <v>1186</v>
      </c>
    </row>
    <row r="55" spans="1:8" x14ac:dyDescent="0.4">
      <c r="A55" s="1">
        <v>384</v>
      </c>
      <c r="B55" s="2">
        <v>2024</v>
      </c>
      <c r="C55" s="2" t="s">
        <v>343</v>
      </c>
      <c r="D55" s="2" t="s">
        <v>1187</v>
      </c>
      <c r="E55" s="2" t="s">
        <v>1188</v>
      </c>
      <c r="F55" s="2" t="s">
        <v>1189</v>
      </c>
      <c r="G55" s="5" t="s">
        <v>1190</v>
      </c>
      <c r="H55" s="6" t="s">
        <v>1191</v>
      </c>
    </row>
    <row r="56" spans="1:8" x14ac:dyDescent="0.4">
      <c r="A56" s="1">
        <v>389</v>
      </c>
      <c r="B56" s="2">
        <v>2025</v>
      </c>
      <c r="C56" s="2" t="s">
        <v>345</v>
      </c>
      <c r="D56" s="2" t="s">
        <v>1192</v>
      </c>
      <c r="E56" s="2" t="s">
        <v>1193</v>
      </c>
      <c r="F56" s="2" t="s">
        <v>1194</v>
      </c>
      <c r="G56" s="5" t="s">
        <v>1195</v>
      </c>
      <c r="H56" s="6" t="s">
        <v>1196</v>
      </c>
    </row>
    <row r="57" spans="1:8" x14ac:dyDescent="0.4">
      <c r="A57" s="1">
        <v>394</v>
      </c>
      <c r="B57" s="2">
        <v>2025</v>
      </c>
      <c r="C57" s="2" t="s">
        <v>346</v>
      </c>
      <c r="D57" s="2" t="s">
        <v>1197</v>
      </c>
      <c r="E57" s="2" t="s">
        <v>1198</v>
      </c>
      <c r="F57" s="2" t="s">
        <v>1199</v>
      </c>
      <c r="G57" s="5" t="s">
        <v>1200</v>
      </c>
      <c r="H57" s="6" t="s">
        <v>1201</v>
      </c>
    </row>
    <row r="58" spans="1:8" x14ac:dyDescent="0.4">
      <c r="A58" s="1">
        <v>396</v>
      </c>
      <c r="B58" s="2">
        <v>2025</v>
      </c>
      <c r="C58" s="2" t="s">
        <v>347</v>
      </c>
      <c r="D58" s="2" t="s">
        <v>1202</v>
      </c>
      <c r="E58" s="2" t="s">
        <v>1203</v>
      </c>
      <c r="F58" s="2" t="s">
        <v>1204</v>
      </c>
      <c r="G58" s="5" t="s">
        <v>1205</v>
      </c>
      <c r="H58" s="6" t="s">
        <v>1206</v>
      </c>
    </row>
    <row r="59" spans="1:8" x14ac:dyDescent="0.4">
      <c r="A59" s="1">
        <v>400</v>
      </c>
      <c r="B59" s="2">
        <v>2025</v>
      </c>
      <c r="C59" s="2" t="s">
        <v>350</v>
      </c>
      <c r="D59" s="2" t="s">
        <v>1207</v>
      </c>
      <c r="E59" s="2" t="s">
        <v>1208</v>
      </c>
      <c r="F59" s="2" t="s">
        <v>1209</v>
      </c>
      <c r="G59" s="5" t="s">
        <v>1210</v>
      </c>
      <c r="H59" s="6" t="s">
        <v>1211</v>
      </c>
    </row>
    <row r="60" spans="1:8" x14ac:dyDescent="0.4">
      <c r="A60" s="1">
        <v>408</v>
      </c>
      <c r="B60" s="2">
        <v>2023</v>
      </c>
      <c r="C60" s="2" t="s">
        <v>356</v>
      </c>
      <c r="D60" s="2" t="s">
        <v>1212</v>
      </c>
      <c r="E60" s="2" t="s">
        <v>1213</v>
      </c>
      <c r="F60" s="2" t="s">
        <v>1214</v>
      </c>
      <c r="G60" s="5" t="s">
        <v>1215</v>
      </c>
      <c r="H60" s="6" t="s">
        <v>1216</v>
      </c>
    </row>
    <row r="61" spans="1:8" x14ac:dyDescent="0.4">
      <c r="A61" s="1">
        <v>411</v>
      </c>
      <c r="B61" s="2">
        <v>2023</v>
      </c>
      <c r="C61" s="2" t="s">
        <v>357</v>
      </c>
      <c r="D61" s="2" t="s">
        <v>1217</v>
      </c>
      <c r="E61" s="2" t="s">
        <v>1218</v>
      </c>
      <c r="F61" s="2" t="s">
        <v>1219</v>
      </c>
      <c r="G61" s="5" t="s">
        <v>1220</v>
      </c>
      <c r="H61" s="6" t="s">
        <v>1221</v>
      </c>
    </row>
    <row r="62" spans="1:8" x14ac:dyDescent="0.4">
      <c r="A62" s="1">
        <v>421</v>
      </c>
      <c r="B62" s="2">
        <v>2025</v>
      </c>
      <c r="C62" s="2" t="s">
        <v>363</v>
      </c>
      <c r="D62" s="2" t="s">
        <v>1222</v>
      </c>
      <c r="E62" s="2" t="s">
        <v>1223</v>
      </c>
      <c r="F62" s="2" t="s">
        <v>1224</v>
      </c>
      <c r="G62" s="5" t="s">
        <v>1225</v>
      </c>
      <c r="H62" s="6" t="s">
        <v>1226</v>
      </c>
    </row>
    <row r="63" spans="1:8" x14ac:dyDescent="0.4">
      <c r="A63" s="1">
        <v>422</v>
      </c>
      <c r="B63" s="2">
        <v>2025</v>
      </c>
      <c r="C63" s="2" t="s">
        <v>364</v>
      </c>
      <c r="D63" s="2" t="s">
        <v>1227</v>
      </c>
      <c r="E63" s="2" t="s">
        <v>1228</v>
      </c>
      <c r="F63" s="2" t="s">
        <v>1229</v>
      </c>
      <c r="G63" s="5" t="s">
        <v>1230</v>
      </c>
      <c r="H63" s="6" t="s">
        <v>1231</v>
      </c>
    </row>
    <row r="64" spans="1:8" x14ac:dyDescent="0.4">
      <c r="A64" s="1">
        <v>464</v>
      </c>
      <c r="B64" s="2">
        <v>2025</v>
      </c>
      <c r="C64" s="2" t="s">
        <v>381</v>
      </c>
      <c r="D64" s="2" t="s">
        <v>1232</v>
      </c>
      <c r="E64" s="2" t="s">
        <v>1233</v>
      </c>
      <c r="F64" s="2" t="s">
        <v>1234</v>
      </c>
      <c r="G64" s="5" t="s">
        <v>1235</v>
      </c>
      <c r="H64" s="6" t="s">
        <v>1236</v>
      </c>
    </row>
    <row r="65" spans="1:8" x14ac:dyDescent="0.4">
      <c r="A65" s="1">
        <v>470</v>
      </c>
      <c r="B65" s="2">
        <v>2025</v>
      </c>
      <c r="C65" s="2" t="s">
        <v>384</v>
      </c>
      <c r="D65" s="2" t="s">
        <v>1237</v>
      </c>
      <c r="E65" s="2" t="s">
        <v>1238</v>
      </c>
      <c r="F65" s="2" t="s">
        <v>1239</v>
      </c>
      <c r="G65" s="5" t="s">
        <v>1240</v>
      </c>
      <c r="H65" s="6" t="s">
        <v>1241</v>
      </c>
    </row>
    <row r="66" spans="1:8" x14ac:dyDescent="0.4">
      <c r="A66" s="1">
        <v>477</v>
      </c>
      <c r="B66" s="2">
        <v>2024</v>
      </c>
      <c r="C66" s="2" t="s">
        <v>391</v>
      </c>
      <c r="D66" s="2" t="s">
        <v>1242</v>
      </c>
      <c r="E66" s="2" t="s">
        <v>1243</v>
      </c>
      <c r="F66" s="2" t="s">
        <v>1244</v>
      </c>
      <c r="G66" s="5" t="s">
        <v>1245</v>
      </c>
      <c r="H66" s="6" t="s">
        <v>1246</v>
      </c>
    </row>
    <row r="67" spans="1:8" x14ac:dyDescent="0.4">
      <c r="A67" s="1">
        <v>537</v>
      </c>
      <c r="B67" s="2">
        <v>2024</v>
      </c>
      <c r="C67" s="2" t="s">
        <v>417</v>
      </c>
      <c r="D67" s="2" t="s">
        <v>1247</v>
      </c>
      <c r="E67" s="2" t="s">
        <v>1248</v>
      </c>
      <c r="F67" s="2" t="s">
        <v>1249</v>
      </c>
      <c r="G67" s="5" t="s">
        <v>1250</v>
      </c>
      <c r="H67" s="6" t="s">
        <v>1251</v>
      </c>
    </row>
    <row r="68" spans="1:8" x14ac:dyDescent="0.4">
      <c r="A68" s="1">
        <v>555</v>
      </c>
      <c r="B68" s="2">
        <v>2025</v>
      </c>
      <c r="C68" s="2" t="s">
        <v>423</v>
      </c>
      <c r="D68" s="2" t="s">
        <v>1252</v>
      </c>
      <c r="E68" s="2" t="s">
        <v>1253</v>
      </c>
      <c r="F68" s="2" t="s">
        <v>1254</v>
      </c>
      <c r="G68" s="5" t="s">
        <v>1255</v>
      </c>
      <c r="H68" s="6" t="s">
        <v>1256</v>
      </c>
    </row>
  </sheetData>
  <phoneticPr fontId="2" type="noConversion"/>
  <hyperlinks>
    <hyperlink ref="H2" r:id="rId1" xr:uid="{B4752A25-7E4F-48E9-A3AD-444DA871D666}"/>
    <hyperlink ref="H4" r:id="rId2" xr:uid="{2F7D8AA1-C5CB-4F92-8057-E67B3B11DAF9}"/>
    <hyperlink ref="H8" r:id="rId3" xr:uid="{A2DD9405-FEA2-4485-AA64-38EE83A2FA95}"/>
    <hyperlink ref="H9" r:id="rId4" xr:uid="{2BF81504-7BC9-4B98-967A-8C9F71D2395A}"/>
    <hyperlink ref="H11" r:id="rId5" xr:uid="{97DBB852-2E8B-4669-9AB4-34E72848102D}"/>
    <hyperlink ref="H12" r:id="rId6" xr:uid="{2D173433-FF0E-40BA-935B-C38920DF9742}"/>
    <hyperlink ref="H13" r:id="rId7" xr:uid="{E9C22C9F-3172-42B4-8889-6A554F97B0DF}"/>
    <hyperlink ref="H14" r:id="rId8" xr:uid="{E8A22EED-39AC-4DBA-9911-D4CF15356877}"/>
    <hyperlink ref="H15" r:id="rId9" xr:uid="{7E8FF5A4-265D-4E11-8E8A-414B9319DB80}"/>
    <hyperlink ref="H16" r:id="rId10" xr:uid="{2AECA827-8C17-46CD-8750-655E462616B4}"/>
    <hyperlink ref="H18" r:id="rId11" xr:uid="{A1FAA247-0EFD-456B-AE77-8FDC03377971}"/>
    <hyperlink ref="H20" r:id="rId12" xr:uid="{246585A8-EE9E-4216-AA5F-A790AC15FD0B}"/>
    <hyperlink ref="H49" r:id="rId13" xr:uid="{585DB855-F13F-49DE-AC1C-F5CA8A6549BB}"/>
    <hyperlink ref="H47" r:id="rId14" xr:uid="{421A0BD0-AFFF-4384-908A-DC841E25A8F8}"/>
    <hyperlink ref="H17" r:id="rId15" xr:uid="{EC2BBDEA-2E71-4D6A-B19C-B30CF5879EAC}"/>
  </hyperlinks>
  <pageMargins left="0.7" right="0.7" top="0.75" bottom="0.75" header="0.3" footer="0.3"/>
  <tableParts count="1">
    <tablePart r:id="rId1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D46E0-9AD2-4030-AA25-DF28F0E9098A}">
  <dimension ref="A1:N165"/>
  <sheetViews>
    <sheetView zoomScaleNormal="100" workbookViewId="0">
      <pane ySplit="1" topLeftCell="A2" activePane="bottomLeft" state="frozen"/>
      <selection activeCell="C55" sqref="C55"/>
      <selection pane="bottomLeft"/>
    </sheetView>
  </sheetViews>
  <sheetFormatPr defaultColWidth="8.8984375" defaultRowHeight="15.6" x14ac:dyDescent="0.4"/>
  <cols>
    <col min="1" max="1" width="8.796875" style="1" bestFit="1" customWidth="1"/>
    <col min="2" max="2" width="6.796875" style="2" bestFit="1" customWidth="1"/>
    <col min="3" max="3" width="36.59765625" style="2" bestFit="1" customWidth="1"/>
    <col min="4" max="4" width="6.796875" style="2" bestFit="1" customWidth="1"/>
    <col min="5" max="5" width="11.09765625" style="2" customWidth="1"/>
    <col min="6" max="6" width="19.5" style="2" customWidth="1"/>
    <col min="7" max="7" width="7.796875" style="2" customWidth="1"/>
    <col min="8" max="8" width="255.69921875" style="2" bestFit="1" customWidth="1"/>
    <col min="9" max="9" width="182.19921875" style="2" bestFit="1" customWidth="1"/>
    <col min="10" max="12" width="8.8984375" style="2"/>
    <col min="13" max="14" width="9.796875" style="2" bestFit="1" customWidth="1"/>
    <col min="15" max="16384" width="8.8984375" style="2"/>
  </cols>
  <sheetData>
    <row r="1" spans="1:14" x14ac:dyDescent="0.4">
      <c r="A1" s="1" t="s">
        <v>425</v>
      </c>
      <c r="B1" s="2" t="s">
        <v>917</v>
      </c>
      <c r="C1" s="2" t="s">
        <v>918</v>
      </c>
      <c r="D1" s="2" t="s">
        <v>1257</v>
      </c>
      <c r="E1" s="2" t="s">
        <v>0</v>
      </c>
      <c r="F1" s="2" t="s">
        <v>919</v>
      </c>
      <c r="G1" s="2" t="s">
        <v>920</v>
      </c>
      <c r="H1" s="5" t="s">
        <v>921</v>
      </c>
      <c r="I1" s="2" t="s">
        <v>922</v>
      </c>
    </row>
    <row r="2" spans="1:14" x14ac:dyDescent="0.4">
      <c r="A2" s="1">
        <v>15</v>
      </c>
      <c r="B2" s="2">
        <v>2015</v>
      </c>
      <c r="C2" s="2" t="s">
        <v>1258</v>
      </c>
      <c r="D2" s="2">
        <f>COUNTIF(표1_42[[#All],[작전명]],표1_42[[#This Row],[작전명]])</f>
        <v>1</v>
      </c>
      <c r="E2" s="2" t="s">
        <v>1259</v>
      </c>
      <c r="F2" s="2" t="s">
        <v>1260</v>
      </c>
      <c r="G2" s="2" t="s">
        <v>1261</v>
      </c>
      <c r="H2" s="5" t="s">
        <v>1262</v>
      </c>
      <c r="I2" s="6" t="s">
        <v>1263</v>
      </c>
    </row>
    <row r="3" spans="1:14" x14ac:dyDescent="0.4">
      <c r="A3" s="1">
        <v>129</v>
      </c>
      <c r="B3" s="2">
        <v>2015</v>
      </c>
      <c r="C3" s="8" t="s">
        <v>106</v>
      </c>
      <c r="D3" s="8">
        <f>COUNTIF(표1_42[[#All],[작전명]],표1_42[[#This Row],[작전명]])</f>
        <v>1</v>
      </c>
      <c r="E3" s="2" t="s">
        <v>1264</v>
      </c>
      <c r="F3" s="2" t="s">
        <v>1265</v>
      </c>
      <c r="G3" s="2" t="s">
        <v>1266</v>
      </c>
      <c r="H3" s="5" t="s">
        <v>1267</v>
      </c>
      <c r="I3" s="6" t="s">
        <v>1268</v>
      </c>
    </row>
    <row r="4" spans="1:14" x14ac:dyDescent="0.4">
      <c r="A4" s="1">
        <v>22</v>
      </c>
      <c r="B4" s="2">
        <v>2015</v>
      </c>
      <c r="C4" s="2" t="s">
        <v>1269</v>
      </c>
      <c r="D4" s="2">
        <f>COUNTIF(표1_42[[#All],[작전명]],표1_42[[#This Row],[작전명]])</f>
        <v>1</v>
      </c>
      <c r="E4" s="2" t="s">
        <v>1270</v>
      </c>
      <c r="F4" s="2" t="s">
        <v>1271</v>
      </c>
      <c r="G4" s="2" t="s">
        <v>1272</v>
      </c>
      <c r="H4" s="5" t="s">
        <v>1273</v>
      </c>
      <c r="I4" s="6" t="s">
        <v>1274</v>
      </c>
    </row>
    <row r="5" spans="1:14" x14ac:dyDescent="0.4">
      <c r="A5" s="1">
        <v>9</v>
      </c>
      <c r="B5" s="2">
        <v>2015</v>
      </c>
      <c r="C5" s="2" t="s">
        <v>1275</v>
      </c>
      <c r="D5" s="2">
        <f>COUNTIF(표1_42[[#All],[작전명]],표1_42[[#This Row],[작전명]])</f>
        <v>1</v>
      </c>
      <c r="E5" s="2" t="s">
        <v>1276</v>
      </c>
      <c r="F5" s="2" t="s">
        <v>1277</v>
      </c>
      <c r="G5" s="2" t="s">
        <v>1278</v>
      </c>
      <c r="H5" s="5" t="s">
        <v>1279</v>
      </c>
      <c r="I5" s="6" t="s">
        <v>1280</v>
      </c>
    </row>
    <row r="6" spans="1:14" x14ac:dyDescent="0.4">
      <c r="A6" s="1">
        <v>41</v>
      </c>
      <c r="B6" s="2">
        <v>2015</v>
      </c>
      <c r="C6" s="2" t="s">
        <v>1281</v>
      </c>
      <c r="D6" s="2">
        <f>COUNTIF(표1_42[[#All],[작전명]],표1_42[[#This Row],[작전명]])</f>
        <v>1</v>
      </c>
      <c r="E6" s="2" t="s">
        <v>1282</v>
      </c>
      <c r="F6" s="2" t="s">
        <v>1283</v>
      </c>
      <c r="G6" s="2" t="s">
        <v>1284</v>
      </c>
      <c r="H6" s="5" t="s">
        <v>1285</v>
      </c>
      <c r="I6" s="6" t="s">
        <v>1286</v>
      </c>
    </row>
    <row r="7" spans="1:14" x14ac:dyDescent="0.4">
      <c r="A7" s="1">
        <v>31</v>
      </c>
      <c r="B7" s="2">
        <v>2015</v>
      </c>
      <c r="C7" s="2" t="s">
        <v>1287</v>
      </c>
      <c r="D7" s="2">
        <f>COUNTIF(표1_42[[#All],[작전명]],표1_42[[#This Row],[작전명]])</f>
        <v>1</v>
      </c>
      <c r="E7" s="2" t="s">
        <v>1288</v>
      </c>
      <c r="F7" s="2" t="s">
        <v>1289</v>
      </c>
      <c r="G7" s="2" t="s">
        <v>1290</v>
      </c>
      <c r="H7" s="5" t="s">
        <v>1291</v>
      </c>
      <c r="I7" s="6" t="s">
        <v>1292</v>
      </c>
    </row>
    <row r="8" spans="1:14" x14ac:dyDescent="0.4">
      <c r="A8" s="1">
        <v>30</v>
      </c>
      <c r="B8" s="2">
        <v>2015</v>
      </c>
      <c r="C8" s="2" t="s">
        <v>1293</v>
      </c>
      <c r="D8" s="2">
        <f>COUNTIF(표1_42[[#All],[작전명]],표1_42[[#This Row],[작전명]])</f>
        <v>1</v>
      </c>
      <c r="E8" s="2" t="s">
        <v>1294</v>
      </c>
      <c r="F8" s="2" t="s">
        <v>1295</v>
      </c>
      <c r="G8" s="2" t="s">
        <v>1296</v>
      </c>
      <c r="H8" s="5" t="s">
        <v>1297</v>
      </c>
      <c r="I8" s="6" t="s">
        <v>1298</v>
      </c>
    </row>
    <row r="9" spans="1:14" x14ac:dyDescent="0.4">
      <c r="A9" s="1">
        <v>33</v>
      </c>
      <c r="B9" s="2">
        <v>2015</v>
      </c>
      <c r="C9" s="2" t="s">
        <v>1299</v>
      </c>
      <c r="D9" s="2">
        <f>COUNTIF(표1_42[[#All],[작전명]],표1_42[[#This Row],[작전명]])</f>
        <v>1</v>
      </c>
      <c r="E9" s="2" t="s">
        <v>1300</v>
      </c>
      <c r="F9" s="2" t="s">
        <v>1301</v>
      </c>
      <c r="G9" s="2" t="s">
        <v>1302</v>
      </c>
      <c r="H9" s="5" t="s">
        <v>1303</v>
      </c>
      <c r="I9" s="6" t="s">
        <v>1304</v>
      </c>
    </row>
    <row r="10" spans="1:14" x14ac:dyDescent="0.4">
      <c r="A10" s="1">
        <v>25</v>
      </c>
      <c r="B10" s="2">
        <v>2015</v>
      </c>
      <c r="C10" s="2" t="s">
        <v>1305</v>
      </c>
      <c r="D10" s="2">
        <f>COUNTIF(표1_42[[#All],[작전명]],표1_42[[#This Row],[작전명]])</f>
        <v>1</v>
      </c>
      <c r="E10" s="2" t="s">
        <v>1306</v>
      </c>
      <c r="F10" s="2" t="s">
        <v>1307</v>
      </c>
      <c r="G10" s="2" t="s">
        <v>1308</v>
      </c>
      <c r="H10" s="5" t="s">
        <v>1309</v>
      </c>
      <c r="I10" s="6" t="s">
        <v>1310</v>
      </c>
    </row>
    <row r="11" spans="1:14" x14ac:dyDescent="0.4">
      <c r="A11" s="1">
        <v>23</v>
      </c>
      <c r="B11" s="2">
        <v>2015</v>
      </c>
      <c r="C11" s="2" t="s">
        <v>28</v>
      </c>
      <c r="D11" s="2">
        <f>COUNTIF(표1_42[[#All],[작전명]],표1_42[[#This Row],[작전명]])</f>
        <v>1</v>
      </c>
      <c r="E11" s="2" t="s">
        <v>923</v>
      </c>
      <c r="F11" s="2" t="s">
        <v>924</v>
      </c>
      <c r="G11" s="2" t="s">
        <v>925</v>
      </c>
      <c r="H11" s="5" t="s">
        <v>926</v>
      </c>
      <c r="I11" s="6" t="s">
        <v>927</v>
      </c>
    </row>
    <row r="12" spans="1:14" x14ac:dyDescent="0.4">
      <c r="A12" s="1">
        <v>46</v>
      </c>
      <c r="B12" s="2">
        <v>2015</v>
      </c>
      <c r="C12" s="2" t="s">
        <v>53</v>
      </c>
      <c r="D12" s="2">
        <f>COUNTIF(표1_42[[#All],[작전명]],표1_42[[#This Row],[작전명]])</f>
        <v>1</v>
      </c>
      <c r="E12" s="2" t="s">
        <v>933</v>
      </c>
      <c r="F12" s="2" t="s">
        <v>934</v>
      </c>
      <c r="G12" s="2" t="s">
        <v>935</v>
      </c>
      <c r="H12" s="5" t="s">
        <v>936</v>
      </c>
      <c r="I12" s="6" t="s">
        <v>937</v>
      </c>
    </row>
    <row r="13" spans="1:14" x14ac:dyDescent="0.4">
      <c r="A13" s="1">
        <v>42</v>
      </c>
      <c r="B13" s="2">
        <v>2016</v>
      </c>
      <c r="C13" s="2" t="s">
        <v>1311</v>
      </c>
      <c r="D13" s="2">
        <f>COUNTIF(표1_42[[#All],[작전명]],표1_42[[#This Row],[작전명]])</f>
        <v>1</v>
      </c>
      <c r="E13" s="2" t="s">
        <v>174</v>
      </c>
      <c r="F13" s="2" t="s">
        <v>1312</v>
      </c>
      <c r="G13" s="2" t="s">
        <v>1313</v>
      </c>
      <c r="H13" s="5" t="s">
        <v>1314</v>
      </c>
      <c r="I13" s="6" t="s">
        <v>1315</v>
      </c>
    </row>
    <row r="14" spans="1:14" x14ac:dyDescent="0.4">
      <c r="A14" s="1">
        <v>49</v>
      </c>
      <c r="B14" s="2">
        <v>2016</v>
      </c>
      <c r="C14" s="2" t="s">
        <v>1316</v>
      </c>
      <c r="D14" s="2">
        <f>COUNTIF(표1_42[[#All],[작전명]],표1_42[[#This Row],[작전명]])</f>
        <v>1</v>
      </c>
      <c r="E14" s="2" t="s">
        <v>1317</v>
      </c>
      <c r="F14" s="2" t="s">
        <v>1318</v>
      </c>
      <c r="G14" s="2" t="s">
        <v>1319</v>
      </c>
      <c r="H14" s="5" t="s">
        <v>1320</v>
      </c>
      <c r="I14" s="6" t="s">
        <v>1321</v>
      </c>
    </row>
    <row r="15" spans="1:14" x14ac:dyDescent="0.4">
      <c r="A15" s="1">
        <v>43</v>
      </c>
      <c r="B15" s="2">
        <v>2016</v>
      </c>
      <c r="C15" s="2" t="s">
        <v>1322</v>
      </c>
      <c r="D15" s="2">
        <f>COUNTIF(표1_42[[#All],[작전명]],표1_42[[#This Row],[작전명]])</f>
        <v>1</v>
      </c>
      <c r="E15" s="2" t="s">
        <v>1323</v>
      </c>
      <c r="F15" s="2" t="s">
        <v>1324</v>
      </c>
      <c r="G15" s="2" t="s">
        <v>1325</v>
      </c>
      <c r="H15" s="5" t="s">
        <v>1326</v>
      </c>
      <c r="I15" s="6" t="s">
        <v>1327</v>
      </c>
    </row>
    <row r="16" spans="1:14" x14ac:dyDescent="0.4">
      <c r="A16" s="1">
        <v>48</v>
      </c>
      <c r="B16" s="2">
        <v>2016</v>
      </c>
      <c r="C16" s="2" t="s">
        <v>1328</v>
      </c>
      <c r="D16" s="2">
        <f>COUNTIF(표1_42[[#All],[작전명]],표1_42[[#This Row],[작전명]])</f>
        <v>1</v>
      </c>
      <c r="E16" s="2" t="s">
        <v>1329</v>
      </c>
      <c r="F16" s="2" t="s">
        <v>1330</v>
      </c>
      <c r="G16" s="2" t="s">
        <v>1331</v>
      </c>
      <c r="H16" s="5" t="s">
        <v>1332</v>
      </c>
      <c r="I16" s="6" t="s">
        <v>1333</v>
      </c>
      <c r="M16" s="2" t="s">
        <v>1334</v>
      </c>
      <c r="N16" s="2" t="s">
        <v>1335</v>
      </c>
    </row>
    <row r="17" spans="1:14" x14ac:dyDescent="0.4">
      <c r="A17" s="1">
        <v>47</v>
      </c>
      <c r="B17" s="2">
        <v>2016</v>
      </c>
      <c r="C17" s="2" t="s">
        <v>1336</v>
      </c>
      <c r="D17" s="2">
        <f>COUNTIF(표1_42[[#All],[작전명]],표1_42[[#This Row],[작전명]])</f>
        <v>1</v>
      </c>
      <c r="E17" s="2" t="s">
        <v>1337</v>
      </c>
      <c r="F17" s="2" t="s">
        <v>1338</v>
      </c>
      <c r="G17" s="2" t="s">
        <v>1339</v>
      </c>
      <c r="H17" s="5" t="s">
        <v>1340</v>
      </c>
      <c r="I17" s="6" t="s">
        <v>1341</v>
      </c>
    </row>
    <row r="18" spans="1:14" x14ac:dyDescent="0.4">
      <c r="A18" s="1">
        <v>61</v>
      </c>
      <c r="B18" s="2">
        <v>2016</v>
      </c>
      <c r="C18" s="2" t="s">
        <v>64</v>
      </c>
      <c r="D18" s="2">
        <f>COUNTIF(표1_42[[#All],[작전명]],표1_42[[#This Row],[작전명]])</f>
        <v>1</v>
      </c>
      <c r="E18" s="2" t="s">
        <v>953</v>
      </c>
      <c r="F18" s="2" t="s">
        <v>954</v>
      </c>
      <c r="G18" s="2" t="s">
        <v>955</v>
      </c>
      <c r="H18" s="5" t="s">
        <v>956</v>
      </c>
      <c r="I18" s="6" t="s">
        <v>957</v>
      </c>
    </row>
    <row r="19" spans="1:14" x14ac:dyDescent="0.4">
      <c r="A19" s="1">
        <v>99</v>
      </c>
      <c r="B19" s="2">
        <v>2017</v>
      </c>
      <c r="C19" s="2" t="s">
        <v>1342</v>
      </c>
      <c r="D19" s="2">
        <f>COUNTIF(표1_42[[#All],[작전명]],표1_42[[#This Row],[작전명]])</f>
        <v>1</v>
      </c>
      <c r="E19" s="2" t="s">
        <v>1343</v>
      </c>
      <c r="F19" s="2" t="s">
        <v>1344</v>
      </c>
      <c r="G19" s="2" t="s">
        <v>1345</v>
      </c>
      <c r="H19" s="5" t="s">
        <v>1346</v>
      </c>
      <c r="I19" s="6" t="s">
        <v>1347</v>
      </c>
    </row>
    <row r="20" spans="1:14" x14ac:dyDescent="0.4">
      <c r="A20" s="1">
        <v>103</v>
      </c>
      <c r="B20" s="2">
        <v>2017</v>
      </c>
      <c r="C20" s="2" t="s">
        <v>1348</v>
      </c>
      <c r="D20" s="2">
        <f>COUNTIF(표1_42[[#All],[작전명]],표1_42[[#This Row],[작전명]])</f>
        <v>1</v>
      </c>
      <c r="E20" s="2" t="s">
        <v>1349</v>
      </c>
      <c r="F20" s="2" t="s">
        <v>1350</v>
      </c>
      <c r="G20" s="2" t="s">
        <v>1351</v>
      </c>
      <c r="H20" s="5" t="s">
        <v>1352</v>
      </c>
      <c r="I20" s="6" t="s">
        <v>1353</v>
      </c>
    </row>
    <row r="21" spans="1:14" x14ac:dyDescent="0.4">
      <c r="A21" s="1">
        <v>35</v>
      </c>
      <c r="B21" s="2">
        <v>2017</v>
      </c>
      <c r="C21" s="2" t="s">
        <v>1354</v>
      </c>
      <c r="D21" s="2">
        <f>COUNTIF(표1_42[[#All],[작전명]],표1_42[[#This Row],[작전명]])</f>
        <v>1</v>
      </c>
      <c r="E21" s="2" t="s">
        <v>1355</v>
      </c>
      <c r="F21" s="2" t="s">
        <v>1356</v>
      </c>
      <c r="G21" s="2" t="s">
        <v>1357</v>
      </c>
      <c r="H21" s="5" t="s">
        <v>1358</v>
      </c>
      <c r="I21" s="6" t="s">
        <v>1359</v>
      </c>
    </row>
    <row r="22" spans="1:14" x14ac:dyDescent="0.4">
      <c r="A22" s="1">
        <v>85</v>
      </c>
      <c r="B22" s="2">
        <v>2017</v>
      </c>
      <c r="C22" s="2" t="s">
        <v>1360</v>
      </c>
      <c r="D22" s="2">
        <f>COUNTIF(표1_42[[#All],[작전명]],표1_42[[#This Row],[작전명]])</f>
        <v>1</v>
      </c>
      <c r="E22" s="2" t="s">
        <v>1361</v>
      </c>
      <c r="F22" s="2" t="s">
        <v>1362</v>
      </c>
      <c r="G22" s="2" t="s">
        <v>1363</v>
      </c>
      <c r="H22" s="5" t="s">
        <v>1364</v>
      </c>
      <c r="I22" s="6" t="s">
        <v>1365</v>
      </c>
    </row>
    <row r="23" spans="1:14" x14ac:dyDescent="0.4">
      <c r="A23" s="1">
        <v>73</v>
      </c>
      <c r="B23" s="2">
        <v>2017</v>
      </c>
      <c r="C23" s="2" t="s">
        <v>67</v>
      </c>
      <c r="D23" s="2">
        <f>COUNTIF(표1_42[[#All],[작전명]],표1_42[[#This Row],[작전명]])</f>
        <v>1</v>
      </c>
      <c r="E23" s="2" t="s">
        <v>958</v>
      </c>
      <c r="F23" s="2" t="s">
        <v>959</v>
      </c>
      <c r="G23" s="2" t="s">
        <v>960</v>
      </c>
      <c r="H23" s="5" t="s">
        <v>961</v>
      </c>
      <c r="I23" s="6" t="s">
        <v>962</v>
      </c>
    </row>
    <row r="24" spans="1:14" x14ac:dyDescent="0.4">
      <c r="A24" s="1">
        <v>87</v>
      </c>
      <c r="B24" s="2">
        <v>2017</v>
      </c>
      <c r="C24" s="2" t="s">
        <v>75</v>
      </c>
      <c r="D24" s="2">
        <f>COUNTIF(표1_42[[#All],[작전명]],표1_42[[#This Row],[작전명]])</f>
        <v>1</v>
      </c>
      <c r="E24" s="2" t="s">
        <v>968</v>
      </c>
      <c r="F24" s="2" t="s">
        <v>969</v>
      </c>
      <c r="G24" s="2" t="s">
        <v>970</v>
      </c>
      <c r="H24" s="4" t="s">
        <v>971</v>
      </c>
      <c r="I24" s="6" t="s">
        <v>972</v>
      </c>
    </row>
    <row r="25" spans="1:14" x14ac:dyDescent="0.4">
      <c r="A25" s="1">
        <v>88</v>
      </c>
      <c r="B25" s="2">
        <v>2017</v>
      </c>
      <c r="C25" s="2" t="s">
        <v>78</v>
      </c>
      <c r="D25" s="2">
        <f>COUNTIF(표1_42[[#All],[작전명]],표1_42[[#This Row],[작전명]])</f>
        <v>1</v>
      </c>
      <c r="E25" s="2" t="s">
        <v>973</v>
      </c>
      <c r="F25" s="2" t="s">
        <v>974</v>
      </c>
      <c r="G25" s="2" t="s">
        <v>975</v>
      </c>
      <c r="H25" s="5" t="s">
        <v>976</v>
      </c>
      <c r="I25" s="6" t="s">
        <v>977</v>
      </c>
    </row>
    <row r="26" spans="1:14" x14ac:dyDescent="0.4">
      <c r="A26" s="1">
        <v>89</v>
      </c>
      <c r="B26" s="2">
        <v>2017</v>
      </c>
      <c r="C26" s="2" t="s">
        <v>80</v>
      </c>
      <c r="D26" s="2">
        <f>COUNTIF(표1_42[[#All],[작전명]],표1_42[[#This Row],[작전명]])</f>
        <v>1</v>
      </c>
      <c r="E26" s="4" t="s">
        <v>207</v>
      </c>
      <c r="F26" s="2" t="s">
        <v>978</v>
      </c>
      <c r="G26" s="2" t="s">
        <v>979</v>
      </c>
      <c r="H26" s="5" t="s">
        <v>980</v>
      </c>
      <c r="I26" s="6" t="s">
        <v>981</v>
      </c>
    </row>
    <row r="27" spans="1:14" x14ac:dyDescent="0.4">
      <c r="A27" s="1">
        <v>94</v>
      </c>
      <c r="B27" s="2">
        <v>2017</v>
      </c>
      <c r="C27" s="2" t="s">
        <v>81</v>
      </c>
      <c r="D27" s="2">
        <f>COUNTIF(표1_42[[#All],[작전명]],표1_42[[#This Row],[작전명]])</f>
        <v>1</v>
      </c>
      <c r="E27" s="2" t="s">
        <v>982</v>
      </c>
      <c r="F27" s="2" t="s">
        <v>983</v>
      </c>
      <c r="G27" s="2" t="s">
        <v>984</v>
      </c>
      <c r="H27" s="5" t="s">
        <v>985</v>
      </c>
      <c r="I27" s="6" t="s">
        <v>986</v>
      </c>
    </row>
    <row r="28" spans="1:14" x14ac:dyDescent="0.4">
      <c r="A28" s="1">
        <v>100</v>
      </c>
      <c r="B28" s="2">
        <v>2017</v>
      </c>
      <c r="C28" s="2" t="s">
        <v>89</v>
      </c>
      <c r="D28" s="2">
        <f>COUNTIF(표1_42[[#All],[작전명]],표1_42[[#This Row],[작전명]])</f>
        <v>1</v>
      </c>
      <c r="E28" s="2" t="s">
        <v>992</v>
      </c>
      <c r="F28" s="2" t="s">
        <v>993</v>
      </c>
      <c r="G28" s="2" t="s">
        <v>994</v>
      </c>
      <c r="H28" s="5" t="s">
        <v>995</v>
      </c>
      <c r="I28" s="6" t="s">
        <v>996</v>
      </c>
    </row>
    <row r="29" spans="1:14" x14ac:dyDescent="0.4">
      <c r="A29" s="1">
        <v>216</v>
      </c>
      <c r="B29" s="2">
        <v>2018</v>
      </c>
      <c r="C29" s="2" t="s">
        <v>1366</v>
      </c>
      <c r="D29" s="2">
        <f>COUNTIF(표1_42[[#All],[작전명]],표1_42[[#This Row],[작전명]])</f>
        <v>1</v>
      </c>
      <c r="E29" s="2" t="s">
        <v>1367</v>
      </c>
      <c r="F29" s="2" t="s">
        <v>1368</v>
      </c>
      <c r="G29" s="2" t="s">
        <v>1369</v>
      </c>
      <c r="H29" s="5" t="s">
        <v>1370</v>
      </c>
      <c r="I29" s="6" t="s">
        <v>1371</v>
      </c>
    </row>
    <row r="30" spans="1:14" x14ac:dyDescent="0.4">
      <c r="A30" s="1">
        <v>124</v>
      </c>
      <c r="B30" s="2">
        <v>2018</v>
      </c>
      <c r="C30" s="2" t="s">
        <v>1372</v>
      </c>
      <c r="D30" s="2">
        <f>COUNTIF(표1_42[[#All],[작전명]],표1_42[[#This Row],[작전명]])</f>
        <v>1</v>
      </c>
      <c r="E30" s="2" t="s">
        <v>174</v>
      </c>
      <c r="F30" s="2" t="s">
        <v>1373</v>
      </c>
      <c r="G30" s="2" t="s">
        <v>1374</v>
      </c>
      <c r="H30" s="5" t="s">
        <v>1375</v>
      </c>
      <c r="I30" s="6" t="s">
        <v>1376</v>
      </c>
      <c r="M30" s="2" t="s">
        <v>1377</v>
      </c>
      <c r="N30" s="2" t="s">
        <v>1378</v>
      </c>
    </row>
    <row r="31" spans="1:14" x14ac:dyDescent="0.4">
      <c r="A31" s="1">
        <v>127</v>
      </c>
      <c r="B31" s="2">
        <v>2018</v>
      </c>
      <c r="C31" s="2" t="s">
        <v>1379</v>
      </c>
      <c r="D31" s="2">
        <f>COUNTIF(표1_42[[#All],[작전명]],표1_42[[#This Row],[작전명]])</f>
        <v>1</v>
      </c>
      <c r="E31" s="2" t="s">
        <v>1380</v>
      </c>
      <c r="F31" s="2" t="s">
        <v>1381</v>
      </c>
      <c r="G31" s="2" t="s">
        <v>1382</v>
      </c>
      <c r="H31" s="5" t="s">
        <v>1383</v>
      </c>
      <c r="I31" s="6" t="s">
        <v>1384</v>
      </c>
    </row>
    <row r="32" spans="1:14" x14ac:dyDescent="0.4">
      <c r="A32" s="1">
        <v>97</v>
      </c>
      <c r="B32" s="2">
        <v>2018</v>
      </c>
      <c r="C32" s="2" t="s">
        <v>83</v>
      </c>
      <c r="D32" s="2">
        <f>COUNTIF(표1_42[[#All],[작전명]],표1_42[[#This Row],[작전명]])</f>
        <v>1</v>
      </c>
      <c r="E32" s="2" t="s">
        <v>987</v>
      </c>
      <c r="F32" s="2" t="s">
        <v>988</v>
      </c>
      <c r="G32" s="2" t="s">
        <v>989</v>
      </c>
      <c r="H32" s="5" t="s">
        <v>990</v>
      </c>
      <c r="I32" s="6" t="s">
        <v>991</v>
      </c>
    </row>
    <row r="33" spans="1:14" x14ac:dyDescent="0.4">
      <c r="A33" s="1">
        <v>111</v>
      </c>
      <c r="B33" s="2">
        <v>2018</v>
      </c>
      <c r="C33" s="2" t="s">
        <v>95</v>
      </c>
      <c r="D33" s="2">
        <f>COUNTIF(표1_42[[#All],[작전명]],표1_42[[#This Row],[작전명]])</f>
        <v>1</v>
      </c>
      <c r="E33" s="2" t="s">
        <v>997</v>
      </c>
      <c r="F33" s="2" t="s">
        <v>998</v>
      </c>
      <c r="G33" s="2" t="s">
        <v>999</v>
      </c>
      <c r="H33" s="2" t="s">
        <v>1000</v>
      </c>
      <c r="I33" s="6" t="s">
        <v>1001</v>
      </c>
    </row>
    <row r="34" spans="1:14" x14ac:dyDescent="0.4">
      <c r="A34" s="1">
        <v>112</v>
      </c>
      <c r="B34" s="2">
        <v>2018</v>
      </c>
      <c r="C34" s="2" t="s">
        <v>97</v>
      </c>
      <c r="D34" s="2">
        <f>COUNTIF(표1_42[[#All],[작전명]],표1_42[[#This Row],[작전명]])</f>
        <v>1</v>
      </c>
      <c r="E34" s="2" t="s">
        <v>1002</v>
      </c>
      <c r="F34" s="2" t="s">
        <v>1003</v>
      </c>
      <c r="G34" s="2" t="s">
        <v>1004</v>
      </c>
      <c r="H34" s="5" t="s">
        <v>1005</v>
      </c>
      <c r="I34" s="6" t="s">
        <v>1006</v>
      </c>
    </row>
    <row r="35" spans="1:14" x14ac:dyDescent="0.4">
      <c r="A35" s="1">
        <v>121</v>
      </c>
      <c r="B35" s="2">
        <v>2018</v>
      </c>
      <c r="C35" s="2" t="s">
        <v>99</v>
      </c>
      <c r="D35" s="2">
        <f>COUNTIF(표1_42[[#All],[작전명]],표1_42[[#This Row],[작전명]])</f>
        <v>1</v>
      </c>
      <c r="E35" s="2" t="s">
        <v>1007</v>
      </c>
      <c r="F35" s="2" t="s">
        <v>1008</v>
      </c>
      <c r="G35" s="2" t="s">
        <v>1009</v>
      </c>
      <c r="H35" s="5" t="s">
        <v>1010</v>
      </c>
      <c r="I35" s="6" t="s">
        <v>1011</v>
      </c>
    </row>
    <row r="36" spans="1:14" x14ac:dyDescent="0.4">
      <c r="A36" s="1">
        <v>122</v>
      </c>
      <c r="B36" s="2">
        <v>2018</v>
      </c>
      <c r="C36" s="2" t="s">
        <v>101</v>
      </c>
      <c r="D36" s="2">
        <f>COUNTIF(표1_42[[#All],[작전명]],표1_42[[#This Row],[작전명]])</f>
        <v>1</v>
      </c>
      <c r="E36" s="2" t="s">
        <v>1012</v>
      </c>
      <c r="F36" s="2" t="s">
        <v>1013</v>
      </c>
      <c r="G36" s="2" t="s">
        <v>1014</v>
      </c>
      <c r="H36" s="5" t="s">
        <v>1015</v>
      </c>
      <c r="I36" s="6" t="s">
        <v>1016</v>
      </c>
    </row>
    <row r="37" spans="1:14" x14ac:dyDescent="0.4">
      <c r="A37" s="1">
        <v>134</v>
      </c>
      <c r="B37" s="2">
        <v>2018</v>
      </c>
      <c r="C37" s="2" t="s">
        <v>107</v>
      </c>
      <c r="D37" s="2">
        <f>COUNTIF(표1_42[[#All],[작전명]],표1_42[[#This Row],[작전명]])</f>
        <v>1</v>
      </c>
      <c r="E37" s="2" t="s">
        <v>1017</v>
      </c>
      <c r="F37" s="2" t="s">
        <v>1018</v>
      </c>
      <c r="G37" s="2" t="s">
        <v>1019</v>
      </c>
      <c r="H37" s="5" t="s">
        <v>1020</v>
      </c>
      <c r="I37" s="6" t="s">
        <v>1021</v>
      </c>
    </row>
    <row r="38" spans="1:14" x14ac:dyDescent="0.4">
      <c r="A38" s="1">
        <v>135</v>
      </c>
      <c r="B38" s="2">
        <v>2018</v>
      </c>
      <c r="C38" s="2" t="s">
        <v>109</v>
      </c>
      <c r="D38" s="2">
        <f>COUNTIF(표1_42[[#All],[작전명]],표1_42[[#This Row],[작전명]])</f>
        <v>1</v>
      </c>
      <c r="E38" s="2" t="s">
        <v>1022</v>
      </c>
      <c r="F38" s="2" t="s">
        <v>1023</v>
      </c>
      <c r="G38" s="2" t="s">
        <v>1024</v>
      </c>
      <c r="H38" s="5" t="s">
        <v>1025</v>
      </c>
      <c r="I38" s="6" t="s">
        <v>1026</v>
      </c>
    </row>
    <row r="39" spans="1:14" x14ac:dyDescent="0.4">
      <c r="A39" s="1">
        <v>147</v>
      </c>
      <c r="B39" s="2">
        <v>2018</v>
      </c>
      <c r="C39" s="2" t="s">
        <v>118</v>
      </c>
      <c r="D39" s="2">
        <f>COUNTIF(표1_42[[#All],[작전명]],표1_42[[#This Row],[작전명]])</f>
        <v>1</v>
      </c>
      <c r="E39" s="2" t="s">
        <v>1027</v>
      </c>
      <c r="F39" s="2" t="s">
        <v>1028</v>
      </c>
      <c r="G39" s="2" t="s">
        <v>1029</v>
      </c>
      <c r="H39" s="5" t="s">
        <v>1030</v>
      </c>
      <c r="I39" s="6" t="s">
        <v>1031</v>
      </c>
    </row>
    <row r="40" spans="1:14" x14ac:dyDescent="0.4">
      <c r="A40" s="1">
        <v>139</v>
      </c>
      <c r="B40" s="2">
        <v>2019</v>
      </c>
      <c r="C40" s="2" t="s">
        <v>1385</v>
      </c>
      <c r="D40" s="2">
        <f>COUNTIF(표1_42[[#All],[작전명]],표1_42[[#This Row],[작전명]])</f>
        <v>1</v>
      </c>
      <c r="E40" s="2" t="s">
        <v>1386</v>
      </c>
      <c r="F40" s="2" t="s">
        <v>1387</v>
      </c>
      <c r="G40" s="2" t="s">
        <v>1388</v>
      </c>
      <c r="H40" s="5" t="s">
        <v>1389</v>
      </c>
      <c r="I40" s="6" t="s">
        <v>1390</v>
      </c>
    </row>
    <row r="41" spans="1:14" x14ac:dyDescent="0.4">
      <c r="A41" s="1">
        <v>198</v>
      </c>
      <c r="B41" s="2">
        <v>2019</v>
      </c>
      <c r="C41" s="2" t="s">
        <v>1391</v>
      </c>
      <c r="D41" s="2">
        <f>COUNTIF(표1_42[[#All],[작전명]],표1_42[[#This Row],[작전명]])</f>
        <v>1</v>
      </c>
      <c r="E41" s="2" t="s">
        <v>1392</v>
      </c>
      <c r="F41" s="2" t="s">
        <v>1393</v>
      </c>
      <c r="G41" s="2" t="s">
        <v>1394</v>
      </c>
      <c r="H41" s="5" t="s">
        <v>1395</v>
      </c>
      <c r="I41" s="6" t="s">
        <v>1396</v>
      </c>
    </row>
    <row r="42" spans="1:14" ht="17.399999999999999" x14ac:dyDescent="0.4">
      <c r="A42" s="1">
        <v>146</v>
      </c>
      <c r="B42" s="2">
        <v>2019</v>
      </c>
      <c r="C42" t="s">
        <v>1397</v>
      </c>
      <c r="D42">
        <f>COUNTIF(표1_42[[#All],[작전명]],표1_42[[#This Row],[작전명]])</f>
        <v>1</v>
      </c>
      <c r="E42" s="2" t="s">
        <v>1398</v>
      </c>
      <c r="F42" s="2" t="s">
        <v>1399</v>
      </c>
      <c r="G42" s="2" t="s">
        <v>1400</v>
      </c>
      <c r="H42" s="5" t="s">
        <v>1401</v>
      </c>
      <c r="I42" s="7" t="s">
        <v>1402</v>
      </c>
    </row>
    <row r="43" spans="1:14" x14ac:dyDescent="0.4">
      <c r="A43" s="1">
        <v>158</v>
      </c>
      <c r="B43" s="2">
        <v>2019</v>
      </c>
      <c r="C43" s="2" t="s">
        <v>1403</v>
      </c>
      <c r="D43" s="2">
        <f>COUNTIF(표1_42[[#All],[작전명]],표1_42[[#This Row],[작전명]])</f>
        <v>1</v>
      </c>
      <c r="E43" s="2" t="s">
        <v>1404</v>
      </c>
      <c r="F43" s="2" t="s">
        <v>1405</v>
      </c>
      <c r="G43" s="2" t="s">
        <v>1406</v>
      </c>
      <c r="H43" s="5" t="s">
        <v>1407</v>
      </c>
      <c r="I43" s="6" t="s">
        <v>1408</v>
      </c>
    </row>
    <row r="44" spans="1:14" x14ac:dyDescent="0.4">
      <c r="A44" s="1">
        <v>155</v>
      </c>
      <c r="B44" s="2">
        <v>2019</v>
      </c>
      <c r="C44" s="2" t="s">
        <v>1409</v>
      </c>
      <c r="D44" s="2">
        <f>COUNTIF(표1_42[[#All],[작전명]],표1_42[[#This Row],[작전명]])</f>
        <v>1</v>
      </c>
      <c r="E44" s="2" t="s">
        <v>1410</v>
      </c>
      <c r="F44" s="2" t="s">
        <v>1411</v>
      </c>
      <c r="G44" s="2" t="s">
        <v>1412</v>
      </c>
      <c r="H44" s="5" t="s">
        <v>1413</v>
      </c>
      <c r="I44" s="6" t="s">
        <v>1414</v>
      </c>
    </row>
    <row r="45" spans="1:14" x14ac:dyDescent="0.4">
      <c r="A45" s="1">
        <v>159</v>
      </c>
      <c r="B45" s="2">
        <v>2019</v>
      </c>
      <c r="C45" s="2" t="s">
        <v>1415</v>
      </c>
      <c r="D45" s="2">
        <f>COUNTIF(표1_42[[#All],[작전명]],표1_42[[#This Row],[작전명]])</f>
        <v>1</v>
      </c>
      <c r="E45" s="2" t="s">
        <v>1416</v>
      </c>
      <c r="F45" s="2" t="s">
        <v>1417</v>
      </c>
      <c r="G45" s="2" t="s">
        <v>935</v>
      </c>
      <c r="H45" s="5" t="s">
        <v>1418</v>
      </c>
      <c r="I45" s="6" t="s">
        <v>1419</v>
      </c>
    </row>
    <row r="46" spans="1:14" x14ac:dyDescent="0.4">
      <c r="A46" s="1">
        <v>179</v>
      </c>
      <c r="B46" s="2">
        <v>2019</v>
      </c>
      <c r="C46" s="2" t="s">
        <v>1420</v>
      </c>
      <c r="D46" s="2">
        <f>COUNTIF(표1_42[[#All],[작전명]],표1_42[[#This Row],[작전명]])</f>
        <v>1</v>
      </c>
      <c r="E46" s="2" t="s">
        <v>1421</v>
      </c>
      <c r="F46" s="2" t="s">
        <v>1422</v>
      </c>
      <c r="G46" s="2" t="s">
        <v>1423</v>
      </c>
      <c r="H46" s="5" t="s">
        <v>1424</v>
      </c>
      <c r="I46" s="6" t="s">
        <v>1425</v>
      </c>
    </row>
    <row r="47" spans="1:14" x14ac:dyDescent="0.4">
      <c r="A47" s="1">
        <v>157</v>
      </c>
      <c r="B47" s="2">
        <v>2019</v>
      </c>
      <c r="C47" s="2" t="s">
        <v>1426</v>
      </c>
      <c r="D47" s="2">
        <f>COUNTIF(표1_42[[#All],[작전명]],표1_42[[#This Row],[작전명]])</f>
        <v>1</v>
      </c>
      <c r="E47" s="2" t="s">
        <v>1427</v>
      </c>
      <c r="F47" s="2" t="s">
        <v>1428</v>
      </c>
      <c r="G47" s="2" t="s">
        <v>1429</v>
      </c>
      <c r="H47" s="5" t="s">
        <v>1430</v>
      </c>
      <c r="I47" s="6" t="s">
        <v>1431</v>
      </c>
      <c r="M47" s="2" t="s">
        <v>1432</v>
      </c>
      <c r="N47" s="2" t="s">
        <v>1433</v>
      </c>
    </row>
    <row r="48" spans="1:14" x14ac:dyDescent="0.4">
      <c r="A48" s="1">
        <v>156</v>
      </c>
      <c r="B48" s="2">
        <v>2019</v>
      </c>
      <c r="C48" s="2" t="s">
        <v>1434</v>
      </c>
      <c r="D48" s="2">
        <f>COUNTIF(표1_42[[#All],[작전명]],표1_42[[#This Row],[작전명]])</f>
        <v>1</v>
      </c>
      <c r="E48" s="2" t="s">
        <v>1435</v>
      </c>
      <c r="F48" s="2" t="s">
        <v>1436</v>
      </c>
      <c r="G48" s="2" t="s">
        <v>1437</v>
      </c>
      <c r="H48" s="5" t="s">
        <v>1438</v>
      </c>
      <c r="I48" s="6" t="s">
        <v>1439</v>
      </c>
    </row>
    <row r="49" spans="1:9" x14ac:dyDescent="0.4">
      <c r="A49" s="1">
        <v>165</v>
      </c>
      <c r="B49" s="2">
        <v>2019</v>
      </c>
      <c r="C49" s="2" t="s">
        <v>1440</v>
      </c>
      <c r="D49" s="2">
        <f>COUNTIF(표1_42[[#All],[작전명]],표1_42[[#This Row],[작전명]])</f>
        <v>1</v>
      </c>
      <c r="E49" s="2" t="s">
        <v>1441</v>
      </c>
      <c r="F49" s="2" t="s">
        <v>1442</v>
      </c>
      <c r="G49" s="2" t="s">
        <v>1443</v>
      </c>
      <c r="H49" s="5" t="s">
        <v>1444</v>
      </c>
      <c r="I49" s="6" t="s">
        <v>1445</v>
      </c>
    </row>
    <row r="50" spans="1:9" x14ac:dyDescent="0.4">
      <c r="A50" s="1">
        <v>164</v>
      </c>
      <c r="B50" s="2">
        <v>2019</v>
      </c>
      <c r="C50" s="2" t="s">
        <v>1446</v>
      </c>
      <c r="D50" s="2">
        <f>COUNTIF(표1_42[[#All],[작전명]],표1_42[[#This Row],[작전명]])</f>
        <v>1</v>
      </c>
      <c r="E50" s="2" t="s">
        <v>1447</v>
      </c>
      <c r="F50" s="2" t="s">
        <v>1448</v>
      </c>
      <c r="G50" s="2" t="s">
        <v>1449</v>
      </c>
      <c r="H50" s="5" t="s">
        <v>1450</v>
      </c>
      <c r="I50" s="6" t="s">
        <v>1451</v>
      </c>
    </row>
    <row r="51" spans="1:9" x14ac:dyDescent="0.4">
      <c r="A51" s="1">
        <v>150</v>
      </c>
      <c r="B51" s="2">
        <v>2019</v>
      </c>
      <c r="C51" s="2" t="s">
        <v>120</v>
      </c>
      <c r="D51" s="2">
        <f>COUNTIF(표1_42[[#All],[작전명]],표1_42[[#This Row],[작전명]])</f>
        <v>1</v>
      </c>
      <c r="E51" s="2" t="s">
        <v>1032</v>
      </c>
      <c r="F51" s="2" t="s">
        <v>1033</v>
      </c>
      <c r="G51" s="2" t="s">
        <v>1034</v>
      </c>
      <c r="H51" s="5" t="s">
        <v>1035</v>
      </c>
      <c r="I51" s="6" t="s">
        <v>1036</v>
      </c>
    </row>
    <row r="52" spans="1:9" x14ac:dyDescent="0.4">
      <c r="A52" s="1">
        <v>153</v>
      </c>
      <c r="B52" s="2">
        <v>2019</v>
      </c>
      <c r="C52" s="2" t="s">
        <v>125</v>
      </c>
      <c r="D52" s="2">
        <f>COUNTIF(표1_42[[#All],[작전명]],표1_42[[#This Row],[작전명]])</f>
        <v>1</v>
      </c>
      <c r="E52" s="2" t="s">
        <v>1037</v>
      </c>
      <c r="F52" s="2" t="s">
        <v>1038</v>
      </c>
      <c r="G52" s="2" t="s">
        <v>1039</v>
      </c>
      <c r="H52" s="5" t="s">
        <v>1040</v>
      </c>
      <c r="I52" s="6" t="s">
        <v>1041</v>
      </c>
    </row>
    <row r="53" spans="1:9" x14ac:dyDescent="0.4">
      <c r="A53" s="1">
        <v>160</v>
      </c>
      <c r="B53" s="2">
        <v>2019</v>
      </c>
      <c r="C53" s="2" t="s">
        <v>152</v>
      </c>
      <c r="D53" s="2">
        <f>COUNTIF(표1_42[[#All],[작전명]],표1_42[[#This Row],[작전명]])</f>
        <v>1</v>
      </c>
      <c r="E53" s="2" t="s">
        <v>1042</v>
      </c>
      <c r="F53" s="2" t="s">
        <v>1043</v>
      </c>
      <c r="G53" s="2" t="s">
        <v>999</v>
      </c>
      <c r="H53" s="5" t="s">
        <v>1044</v>
      </c>
      <c r="I53" s="6" t="s">
        <v>1045</v>
      </c>
    </row>
    <row r="54" spans="1:9" x14ac:dyDescent="0.4">
      <c r="A54" s="1">
        <v>176</v>
      </c>
      <c r="B54" s="2">
        <v>2020</v>
      </c>
      <c r="C54" s="2" t="s">
        <v>1452</v>
      </c>
      <c r="D54" s="2">
        <f>COUNTIF(표1_42[[#All],[작전명]],표1_42[[#This Row],[작전명]])</f>
        <v>1</v>
      </c>
      <c r="E54" s="2" t="s">
        <v>1453</v>
      </c>
      <c r="F54" s="2" t="s">
        <v>1454</v>
      </c>
      <c r="G54" s="2" t="s">
        <v>1455</v>
      </c>
      <c r="H54" s="5" t="s">
        <v>1456</v>
      </c>
      <c r="I54" s="6" t="s">
        <v>1457</v>
      </c>
    </row>
    <row r="55" spans="1:9" x14ac:dyDescent="0.4">
      <c r="A55" s="1">
        <v>186</v>
      </c>
      <c r="B55" s="2">
        <v>2020</v>
      </c>
      <c r="C55" s="2" t="s">
        <v>1458</v>
      </c>
      <c r="D55" s="2">
        <f>COUNTIF(표1_42[[#All],[작전명]],표1_42[[#This Row],[작전명]])</f>
        <v>1</v>
      </c>
      <c r="E55" s="2" t="s">
        <v>1459</v>
      </c>
      <c r="F55" s="2" t="s">
        <v>1460</v>
      </c>
      <c r="G55" s="2" t="s">
        <v>1461</v>
      </c>
      <c r="H55" s="5" t="s">
        <v>1462</v>
      </c>
      <c r="I55" s="6" t="s">
        <v>1463</v>
      </c>
    </row>
    <row r="56" spans="1:9" x14ac:dyDescent="0.4">
      <c r="A56" s="1">
        <v>192</v>
      </c>
      <c r="B56" s="2">
        <v>2020</v>
      </c>
      <c r="C56" s="2" t="s">
        <v>1464</v>
      </c>
      <c r="D56" s="2">
        <f>COUNTIF(표1_42[[#All],[작전명]],표1_42[[#This Row],[작전명]])</f>
        <v>1</v>
      </c>
      <c r="E56" s="2" t="s">
        <v>1465</v>
      </c>
      <c r="F56" s="2" t="s">
        <v>1466</v>
      </c>
      <c r="G56" s="2" t="s">
        <v>1467</v>
      </c>
      <c r="H56" s="5" t="s">
        <v>1468</v>
      </c>
      <c r="I56" s="6" t="s">
        <v>1469</v>
      </c>
    </row>
    <row r="57" spans="1:9" x14ac:dyDescent="0.4">
      <c r="A57" s="1">
        <v>175</v>
      </c>
      <c r="B57" s="2">
        <v>2020</v>
      </c>
      <c r="C57" s="2" t="s">
        <v>1470</v>
      </c>
      <c r="D57" s="2">
        <f>COUNTIF(표1_42[[#All],[작전명]],표1_42[[#This Row],[작전명]])</f>
        <v>1</v>
      </c>
      <c r="E57" s="2" t="s">
        <v>1471</v>
      </c>
      <c r="F57" s="2" t="s">
        <v>1472</v>
      </c>
      <c r="G57" s="2" t="s">
        <v>1473</v>
      </c>
      <c r="H57" s="5" t="s">
        <v>1474</v>
      </c>
      <c r="I57" s="6" t="s">
        <v>1475</v>
      </c>
    </row>
    <row r="58" spans="1:9" x14ac:dyDescent="0.4">
      <c r="A58" s="1">
        <v>177</v>
      </c>
      <c r="B58" s="2">
        <v>2020</v>
      </c>
      <c r="C58" s="2" t="s">
        <v>1476</v>
      </c>
      <c r="D58" s="2">
        <f>COUNTIF(표1_42[[#All],[작전명]],표1_42[[#This Row],[작전명]])</f>
        <v>1</v>
      </c>
      <c r="E58" s="2" t="s">
        <v>1477</v>
      </c>
      <c r="F58" s="2" t="s">
        <v>1478</v>
      </c>
      <c r="G58" s="2" t="s">
        <v>1479</v>
      </c>
      <c r="H58" s="5" t="s">
        <v>1480</v>
      </c>
      <c r="I58" s="6" t="s">
        <v>1481</v>
      </c>
    </row>
    <row r="59" spans="1:9" x14ac:dyDescent="0.4">
      <c r="A59" s="1">
        <v>254</v>
      </c>
      <c r="B59" s="2">
        <v>2020</v>
      </c>
      <c r="C59" s="2" t="s">
        <v>1482</v>
      </c>
      <c r="D59" s="2">
        <f>COUNTIF(표1_42[[#All],[작전명]],표1_42[[#This Row],[작전명]])</f>
        <v>1</v>
      </c>
      <c r="E59" s="2" t="s">
        <v>1483</v>
      </c>
      <c r="F59" s="2" t="s">
        <v>1484</v>
      </c>
      <c r="G59" s="2" t="s">
        <v>1485</v>
      </c>
      <c r="H59" s="5" t="s">
        <v>1486</v>
      </c>
      <c r="I59" s="6" t="s">
        <v>1487</v>
      </c>
    </row>
    <row r="60" spans="1:9" x14ac:dyDescent="0.4">
      <c r="A60" s="1">
        <v>178</v>
      </c>
      <c r="B60" s="2">
        <v>2020</v>
      </c>
      <c r="C60" s="2" t="s">
        <v>1488</v>
      </c>
      <c r="D60" s="2">
        <f>COUNTIF(표1_42[[#All],[작전명]],표1_42[[#This Row],[작전명]])</f>
        <v>1</v>
      </c>
      <c r="E60" s="2" t="s">
        <v>1489</v>
      </c>
      <c r="F60" s="2" t="s">
        <v>1490</v>
      </c>
      <c r="G60" s="2" t="s">
        <v>1491</v>
      </c>
      <c r="H60" s="5" t="s">
        <v>1492</v>
      </c>
      <c r="I60" s="6" t="s">
        <v>1493</v>
      </c>
    </row>
    <row r="61" spans="1:9" x14ac:dyDescent="0.4">
      <c r="A61" s="1">
        <v>184</v>
      </c>
      <c r="B61" s="2">
        <v>2020</v>
      </c>
      <c r="C61" s="2" t="s">
        <v>175</v>
      </c>
      <c r="D61" s="2">
        <f>COUNTIF(표1_42[[#All],[작전명]],표1_42[[#This Row],[작전명]])</f>
        <v>1</v>
      </c>
      <c r="E61" s="2" t="s">
        <v>1046</v>
      </c>
      <c r="F61" s="2" t="s">
        <v>1047</v>
      </c>
      <c r="G61" s="2" t="s">
        <v>1048</v>
      </c>
      <c r="H61" s="5" t="s">
        <v>1049</v>
      </c>
      <c r="I61" s="6" t="s">
        <v>1050</v>
      </c>
    </row>
    <row r="62" spans="1:9" x14ac:dyDescent="0.4">
      <c r="A62" s="1">
        <v>194</v>
      </c>
      <c r="B62" s="2">
        <v>2020</v>
      </c>
      <c r="C62" s="2" t="s">
        <v>179</v>
      </c>
      <c r="D62" s="2">
        <f>COUNTIF(표1_42[[#All],[작전명]],표1_42[[#This Row],[작전명]])</f>
        <v>1</v>
      </c>
      <c r="E62" s="2" t="s">
        <v>1051</v>
      </c>
      <c r="F62" s="2" t="s">
        <v>1052</v>
      </c>
      <c r="G62" s="2" t="s">
        <v>1053</v>
      </c>
      <c r="H62" s="5" t="s">
        <v>1054</v>
      </c>
      <c r="I62" s="6" t="s">
        <v>1055</v>
      </c>
    </row>
    <row r="63" spans="1:9" x14ac:dyDescent="0.4">
      <c r="A63" s="1">
        <v>204</v>
      </c>
      <c r="B63" s="2">
        <v>2021</v>
      </c>
      <c r="C63" s="2" t="s">
        <v>1494</v>
      </c>
      <c r="D63" s="2">
        <f>COUNTIF(표1_42[[#All],[작전명]],표1_42[[#This Row],[작전명]])</f>
        <v>1</v>
      </c>
      <c r="E63" s="2" t="s">
        <v>1495</v>
      </c>
      <c r="F63" s="2" t="s">
        <v>1496</v>
      </c>
      <c r="G63" s="2" t="s">
        <v>1497</v>
      </c>
      <c r="H63" s="5" t="s">
        <v>1498</v>
      </c>
      <c r="I63" s="6" t="s">
        <v>1499</v>
      </c>
    </row>
    <row r="64" spans="1:9" x14ac:dyDescent="0.4">
      <c r="A64" s="1">
        <v>203</v>
      </c>
      <c r="B64" s="2">
        <v>2021</v>
      </c>
      <c r="C64" s="2" t="s">
        <v>1500</v>
      </c>
      <c r="D64" s="2">
        <f>COUNTIF(표1_42[[#All],[작전명]],표1_42[[#This Row],[작전명]])</f>
        <v>1</v>
      </c>
      <c r="E64" s="2" t="s">
        <v>1501</v>
      </c>
      <c r="F64" s="2" t="s">
        <v>1502</v>
      </c>
      <c r="G64" s="2" t="s">
        <v>1503</v>
      </c>
      <c r="H64" s="5" t="s">
        <v>1504</v>
      </c>
      <c r="I64" s="6" t="s">
        <v>1505</v>
      </c>
    </row>
    <row r="65" spans="1:14" x14ac:dyDescent="0.4">
      <c r="A65" s="1">
        <v>228</v>
      </c>
      <c r="B65" s="2">
        <v>2021</v>
      </c>
      <c r="C65" s="2" t="s">
        <v>1506</v>
      </c>
      <c r="D65" s="2">
        <f>COUNTIF(표1_42[[#All],[작전명]],표1_42[[#This Row],[작전명]])</f>
        <v>1</v>
      </c>
      <c r="E65" s="2" t="s">
        <v>1507</v>
      </c>
      <c r="F65" s="2" t="s">
        <v>1508</v>
      </c>
      <c r="G65" s="2" t="s">
        <v>1509</v>
      </c>
      <c r="H65" s="5" t="s">
        <v>1510</v>
      </c>
      <c r="I65" s="6" t="s">
        <v>1511</v>
      </c>
    </row>
    <row r="66" spans="1:14" x14ac:dyDescent="0.4">
      <c r="A66" s="1">
        <v>206</v>
      </c>
      <c r="B66" s="2">
        <v>2021</v>
      </c>
      <c r="C66" s="2" t="s">
        <v>1512</v>
      </c>
      <c r="D66" s="2">
        <f>COUNTIF(표1_42[[#All],[작전명]],표1_42[[#This Row],[작전명]])</f>
        <v>1</v>
      </c>
      <c r="E66" s="2" t="s">
        <v>1513</v>
      </c>
      <c r="F66" s="2" t="s">
        <v>1514</v>
      </c>
      <c r="G66" s="2" t="s">
        <v>1515</v>
      </c>
      <c r="H66" s="5" t="s">
        <v>1516</v>
      </c>
      <c r="I66" s="6" t="s">
        <v>1517</v>
      </c>
    </row>
    <row r="67" spans="1:14" x14ac:dyDescent="0.4">
      <c r="A67" s="1">
        <v>199</v>
      </c>
      <c r="B67" s="2">
        <v>2021</v>
      </c>
      <c r="C67" s="2" t="s">
        <v>1518</v>
      </c>
      <c r="D67" s="2">
        <f>COUNTIF(표1_42[[#All],[작전명]],표1_42[[#This Row],[작전명]])</f>
        <v>1</v>
      </c>
      <c r="E67" s="2" t="s">
        <v>1519</v>
      </c>
      <c r="F67" s="2" t="s">
        <v>1520</v>
      </c>
      <c r="G67" s="2" t="s">
        <v>1521</v>
      </c>
      <c r="H67" s="5" t="s">
        <v>1522</v>
      </c>
      <c r="I67" s="6" t="s">
        <v>1523</v>
      </c>
    </row>
    <row r="68" spans="1:14" x14ac:dyDescent="0.4">
      <c r="A68" s="1">
        <v>201</v>
      </c>
      <c r="B68" s="2">
        <v>2021</v>
      </c>
      <c r="C68" s="2" t="s">
        <v>1524</v>
      </c>
      <c r="D68" s="2">
        <f>COUNTIF(표1_42[[#All],[작전명]],표1_42[[#This Row],[작전명]])</f>
        <v>1</v>
      </c>
      <c r="E68" s="2" t="s">
        <v>1525</v>
      </c>
      <c r="F68" s="2" t="s">
        <v>1526</v>
      </c>
      <c r="G68" s="2" t="s">
        <v>1527</v>
      </c>
      <c r="H68" s="5" t="s">
        <v>1528</v>
      </c>
      <c r="I68" s="6" t="s">
        <v>1529</v>
      </c>
    </row>
    <row r="69" spans="1:14" x14ac:dyDescent="0.4">
      <c r="A69" s="1">
        <v>313</v>
      </c>
      <c r="B69" s="2">
        <v>2021</v>
      </c>
      <c r="C69" s="2" t="s">
        <v>1530</v>
      </c>
      <c r="D69" s="2">
        <f>COUNTIF(표1_42[[#All],[작전명]],표1_42[[#This Row],[작전명]])</f>
        <v>1</v>
      </c>
      <c r="E69" s="2" t="s">
        <v>1531</v>
      </c>
      <c r="F69" s="2" t="s">
        <v>1532</v>
      </c>
      <c r="G69" s="2" t="s">
        <v>1533</v>
      </c>
      <c r="H69" s="5" t="s">
        <v>1534</v>
      </c>
      <c r="I69" s="6" t="s">
        <v>1535</v>
      </c>
    </row>
    <row r="70" spans="1:14" x14ac:dyDescent="0.4">
      <c r="A70" s="1">
        <v>200</v>
      </c>
      <c r="B70" s="2">
        <v>2021</v>
      </c>
      <c r="C70" s="2" t="s">
        <v>1536</v>
      </c>
      <c r="D70" s="2">
        <f>COUNTIF(표1_42[[#All],[작전명]],표1_42[[#This Row],[작전명]])</f>
        <v>1</v>
      </c>
      <c r="E70" s="2" t="s">
        <v>1537</v>
      </c>
      <c r="F70" s="2" t="s">
        <v>1538</v>
      </c>
      <c r="G70" s="2" t="s">
        <v>1539</v>
      </c>
      <c r="H70" s="5" t="s">
        <v>1540</v>
      </c>
      <c r="I70" s="6" t="s">
        <v>1541</v>
      </c>
    </row>
    <row r="71" spans="1:14" x14ac:dyDescent="0.4">
      <c r="A71" s="1">
        <v>218</v>
      </c>
      <c r="B71" s="2">
        <v>2021</v>
      </c>
      <c r="C71" s="2" t="s">
        <v>1542</v>
      </c>
      <c r="D71" s="2">
        <f>COUNTIF(표1_42[[#All],[작전명]],표1_42[[#This Row],[작전명]])</f>
        <v>1</v>
      </c>
      <c r="E71" s="2" t="s">
        <v>1543</v>
      </c>
      <c r="F71" s="2" t="s">
        <v>1544</v>
      </c>
      <c r="G71" s="2" t="s">
        <v>1545</v>
      </c>
      <c r="H71" s="5" t="s">
        <v>1546</v>
      </c>
      <c r="I71" s="6" t="s">
        <v>1547</v>
      </c>
      <c r="M71" s="2" t="s">
        <v>1548</v>
      </c>
      <c r="N71" s="2" t="s">
        <v>1549</v>
      </c>
    </row>
    <row r="72" spans="1:14" x14ac:dyDescent="0.4">
      <c r="A72" s="1">
        <v>84</v>
      </c>
      <c r="B72" s="2">
        <v>2021</v>
      </c>
      <c r="C72" s="2" t="s">
        <v>70</v>
      </c>
      <c r="D72" s="2">
        <f>COUNTIF(표1_42[[#All],[작전명]],표1_42[[#This Row],[작전명]])</f>
        <v>1</v>
      </c>
      <c r="E72" s="2" t="s">
        <v>963</v>
      </c>
      <c r="F72" s="2" t="s">
        <v>964</v>
      </c>
      <c r="G72" s="2" t="s">
        <v>965</v>
      </c>
      <c r="H72" s="5" t="s">
        <v>966</v>
      </c>
      <c r="I72" s="6" t="s">
        <v>967</v>
      </c>
    </row>
    <row r="73" spans="1:14" x14ac:dyDescent="0.4">
      <c r="A73" s="1">
        <v>213</v>
      </c>
      <c r="B73" s="2">
        <v>2021</v>
      </c>
      <c r="C73" s="2" t="s">
        <v>1056</v>
      </c>
      <c r="D73" s="2">
        <f>COUNTIF(표1_42[[#All],[작전명]],표1_42[[#This Row],[작전명]])</f>
        <v>1</v>
      </c>
      <c r="E73" s="2" t="s">
        <v>1057</v>
      </c>
      <c r="F73" s="2" t="s">
        <v>1058</v>
      </c>
      <c r="G73" s="2" t="s">
        <v>1059</v>
      </c>
      <c r="H73" s="5" t="s">
        <v>1060</v>
      </c>
      <c r="I73" s="6" t="s">
        <v>1061</v>
      </c>
    </row>
    <row r="74" spans="1:14" x14ac:dyDescent="0.4">
      <c r="A74" s="1">
        <v>214</v>
      </c>
      <c r="B74" s="2">
        <v>2021</v>
      </c>
      <c r="C74" s="2" t="s">
        <v>209</v>
      </c>
      <c r="D74" s="2">
        <f>COUNTIF(표1_42[[#All],[작전명]],표1_42[[#This Row],[작전명]])</f>
        <v>1</v>
      </c>
      <c r="E74" s="2" t="s">
        <v>1062</v>
      </c>
      <c r="F74" s="2" t="s">
        <v>1063</v>
      </c>
      <c r="G74" s="2" t="s">
        <v>1064</v>
      </c>
      <c r="H74" s="5" t="s">
        <v>1065</v>
      </c>
      <c r="I74" s="6" t="s">
        <v>1066</v>
      </c>
    </row>
    <row r="75" spans="1:14" x14ac:dyDescent="0.4">
      <c r="A75" s="1">
        <v>234</v>
      </c>
      <c r="B75" s="2">
        <v>2022</v>
      </c>
      <c r="C75" s="2" t="s">
        <v>1550</v>
      </c>
      <c r="D75" s="2">
        <f>COUNTIF(표1_42[[#All],[작전명]],표1_42[[#This Row],[작전명]])</f>
        <v>1</v>
      </c>
      <c r="E75" s="2" t="s">
        <v>1551</v>
      </c>
      <c r="F75" s="2" t="s">
        <v>1552</v>
      </c>
      <c r="G75" s="2" t="s">
        <v>1553</v>
      </c>
      <c r="H75" s="5" t="s">
        <v>1554</v>
      </c>
      <c r="I75" s="6" t="s">
        <v>1555</v>
      </c>
    </row>
    <row r="76" spans="1:14" x14ac:dyDescent="0.4">
      <c r="A76" s="1">
        <v>213</v>
      </c>
      <c r="B76" s="2">
        <v>2022</v>
      </c>
      <c r="C76" s="2" t="s">
        <v>1556</v>
      </c>
      <c r="D76" s="2">
        <f>COUNTIF(표1_42[[#All],[작전명]],표1_42[[#This Row],[작전명]])</f>
        <v>1</v>
      </c>
      <c r="E76" s="2" t="s">
        <v>1557</v>
      </c>
      <c r="F76" s="2" t="s">
        <v>1558</v>
      </c>
      <c r="G76" s="2" t="s">
        <v>1559</v>
      </c>
      <c r="H76" s="5" t="s">
        <v>1560</v>
      </c>
      <c r="I76" s="6" t="s">
        <v>1561</v>
      </c>
    </row>
    <row r="77" spans="1:14" x14ac:dyDescent="0.4">
      <c r="A77" s="1">
        <v>378</v>
      </c>
      <c r="B77" s="2">
        <v>2022</v>
      </c>
      <c r="C77" s="2" t="s">
        <v>1562</v>
      </c>
      <c r="D77" s="2">
        <f>COUNTIF(표1_42[[#All],[작전명]],표1_42[[#This Row],[작전명]])</f>
        <v>1</v>
      </c>
      <c r="E77" s="2" t="s">
        <v>1563</v>
      </c>
      <c r="F77" s="2" t="s">
        <v>1564</v>
      </c>
      <c r="G77" s="2" t="s">
        <v>1565</v>
      </c>
      <c r="H77" s="5" t="s">
        <v>1566</v>
      </c>
      <c r="I77" s="6" t="s">
        <v>1567</v>
      </c>
    </row>
    <row r="78" spans="1:14" x14ac:dyDescent="0.4">
      <c r="A78" s="1">
        <v>235</v>
      </c>
      <c r="B78" s="2">
        <v>2022</v>
      </c>
      <c r="C78" s="2" t="s">
        <v>1568</v>
      </c>
      <c r="D78" s="2">
        <f>COUNTIF(표1_42[[#All],[작전명]],표1_42[[#This Row],[작전명]])</f>
        <v>1</v>
      </c>
      <c r="E78" s="2" t="s">
        <v>1569</v>
      </c>
      <c r="F78" s="2" t="s">
        <v>1570</v>
      </c>
      <c r="G78" s="2" t="s">
        <v>1174</v>
      </c>
      <c r="H78" s="5" t="s">
        <v>1571</v>
      </c>
      <c r="I78" s="6" t="s">
        <v>1572</v>
      </c>
    </row>
    <row r="79" spans="1:14" x14ac:dyDescent="0.4">
      <c r="A79" s="1">
        <v>210</v>
      </c>
      <c r="B79" s="2">
        <v>2022</v>
      </c>
      <c r="C79" s="2" t="s">
        <v>1573</v>
      </c>
      <c r="D79" s="2">
        <f>COUNTIF(표1_42[[#All],[작전명]],표1_42[[#This Row],[작전명]])</f>
        <v>1</v>
      </c>
      <c r="E79" s="2" t="s">
        <v>1574</v>
      </c>
      <c r="F79" s="2" t="s">
        <v>1575</v>
      </c>
      <c r="G79" s="2" t="s">
        <v>1576</v>
      </c>
      <c r="H79" s="5" t="s">
        <v>1577</v>
      </c>
      <c r="I79" s="6" t="s">
        <v>1578</v>
      </c>
    </row>
    <row r="80" spans="1:14" x14ac:dyDescent="0.4">
      <c r="A80" s="1">
        <v>217</v>
      </c>
      <c r="B80" s="2">
        <v>2022</v>
      </c>
      <c r="C80" s="2" t="s">
        <v>1579</v>
      </c>
      <c r="D80" s="2">
        <f>COUNTIF(표1_42[[#All],[작전명]],표1_42[[#This Row],[작전명]])</f>
        <v>1</v>
      </c>
      <c r="E80" s="2" t="s">
        <v>1580</v>
      </c>
      <c r="F80" s="2" t="s">
        <v>1581</v>
      </c>
      <c r="G80" s="2" t="s">
        <v>1582</v>
      </c>
      <c r="H80" s="5" t="s">
        <v>1583</v>
      </c>
      <c r="I80" s="6" t="s">
        <v>1584</v>
      </c>
    </row>
    <row r="81" spans="1:9" x14ac:dyDescent="0.4">
      <c r="A81" s="1">
        <v>229</v>
      </c>
      <c r="B81" s="2">
        <v>2022</v>
      </c>
      <c r="C81" s="2" t="s">
        <v>1585</v>
      </c>
      <c r="D81" s="2">
        <f>COUNTIF(표1_42[[#All],[작전명]],표1_42[[#This Row],[작전명]])</f>
        <v>1</v>
      </c>
      <c r="E81" s="2" t="s">
        <v>1586</v>
      </c>
      <c r="F81" s="2" t="s">
        <v>1587</v>
      </c>
      <c r="G81" s="2" t="s">
        <v>1588</v>
      </c>
      <c r="H81" s="5" t="s">
        <v>1589</v>
      </c>
      <c r="I81" s="6" t="s">
        <v>1590</v>
      </c>
    </row>
    <row r="82" spans="1:9" x14ac:dyDescent="0.4">
      <c r="A82" s="1">
        <v>301</v>
      </c>
      <c r="B82" s="2">
        <v>2022</v>
      </c>
      <c r="C82" s="2" t="s">
        <v>1591</v>
      </c>
      <c r="D82" s="2">
        <f>COUNTIF(표1_42[[#All],[작전명]],표1_42[[#This Row],[작전명]])</f>
        <v>1</v>
      </c>
      <c r="E82" s="2" t="s">
        <v>1592</v>
      </c>
      <c r="F82" s="2" t="s">
        <v>1593</v>
      </c>
      <c r="G82" s="2" t="s">
        <v>1594</v>
      </c>
      <c r="H82" s="5" t="s">
        <v>1595</v>
      </c>
      <c r="I82" s="6" t="s">
        <v>1596</v>
      </c>
    </row>
    <row r="83" spans="1:9" x14ac:dyDescent="0.4">
      <c r="A83" s="1">
        <v>285</v>
      </c>
      <c r="B83" s="2">
        <v>2022</v>
      </c>
      <c r="C83" s="2" t="s">
        <v>266</v>
      </c>
      <c r="D83" s="2">
        <f>COUNTIF(표1_42[[#All],[작전명]],표1_42[[#This Row],[작전명]])</f>
        <v>1</v>
      </c>
      <c r="E83" s="2" t="s">
        <v>948</v>
      </c>
      <c r="F83" s="2" t="s">
        <v>949</v>
      </c>
      <c r="G83" s="2" t="s">
        <v>950</v>
      </c>
      <c r="H83" s="5" t="s">
        <v>951</v>
      </c>
      <c r="I83" s="6" t="s">
        <v>952</v>
      </c>
    </row>
    <row r="84" spans="1:9" x14ac:dyDescent="0.4">
      <c r="A84" s="1">
        <v>215</v>
      </c>
      <c r="B84" s="2">
        <v>2022</v>
      </c>
      <c r="C84" s="2" t="s">
        <v>210</v>
      </c>
      <c r="D84" s="2">
        <f>COUNTIF(표1_42[[#All],[작전명]],표1_42[[#This Row],[작전명]])</f>
        <v>1</v>
      </c>
      <c r="E84" s="2" t="s">
        <v>1067</v>
      </c>
      <c r="F84" s="2" t="s">
        <v>1068</v>
      </c>
      <c r="G84" s="2" t="s">
        <v>1069</v>
      </c>
      <c r="H84" s="5" t="s">
        <v>1070</v>
      </c>
      <c r="I84" s="6" t="s">
        <v>1071</v>
      </c>
    </row>
    <row r="85" spans="1:9" x14ac:dyDescent="0.4">
      <c r="A85" s="1">
        <v>226</v>
      </c>
      <c r="B85" s="2">
        <v>2022</v>
      </c>
      <c r="C85" s="2" t="s">
        <v>218</v>
      </c>
      <c r="D85" s="2">
        <f>COUNTIF(표1_42[[#All],[작전명]],표1_42[[#This Row],[작전명]])</f>
        <v>1</v>
      </c>
      <c r="E85" s="2" t="s">
        <v>1072</v>
      </c>
      <c r="F85" s="2" t="s">
        <v>1073</v>
      </c>
      <c r="G85" s="2" t="s">
        <v>1074</v>
      </c>
      <c r="H85" s="5" t="s">
        <v>1075</v>
      </c>
      <c r="I85" s="6" t="s">
        <v>1076</v>
      </c>
    </row>
    <row r="86" spans="1:9" x14ac:dyDescent="0.4">
      <c r="A86" s="1">
        <v>232</v>
      </c>
      <c r="B86" s="2">
        <v>2022</v>
      </c>
      <c r="C86" s="2" t="s">
        <v>229</v>
      </c>
      <c r="D86" s="2">
        <f>COUNTIF(표1_42[[#All],[작전명]],표1_42[[#This Row],[작전명]])</f>
        <v>1</v>
      </c>
      <c r="E86" s="2" t="s">
        <v>1077</v>
      </c>
      <c r="F86" s="2" t="s">
        <v>1078</v>
      </c>
      <c r="G86" s="2" t="s">
        <v>1079</v>
      </c>
      <c r="H86" s="5" t="s">
        <v>1080</v>
      </c>
      <c r="I86" s="6" t="s">
        <v>1081</v>
      </c>
    </row>
    <row r="87" spans="1:9" x14ac:dyDescent="0.4">
      <c r="A87" s="1">
        <v>237</v>
      </c>
      <c r="B87" s="2">
        <v>2022</v>
      </c>
      <c r="C87" s="2" t="s">
        <v>235</v>
      </c>
      <c r="D87" s="2">
        <f>COUNTIF(표1_42[[#All],[작전명]],표1_42[[#This Row],[작전명]])</f>
        <v>1</v>
      </c>
      <c r="E87" s="2" t="s">
        <v>1082</v>
      </c>
      <c r="F87" s="2" t="s">
        <v>1083</v>
      </c>
      <c r="G87" s="2" t="s">
        <v>1084</v>
      </c>
      <c r="H87" s="5" t="s">
        <v>1085</v>
      </c>
      <c r="I87" s="6" t="s">
        <v>1086</v>
      </c>
    </row>
    <row r="88" spans="1:9" ht="17.399999999999999" x14ac:dyDescent="0.4">
      <c r="A88" s="1">
        <v>358</v>
      </c>
      <c r="B88" s="2">
        <v>2022</v>
      </c>
      <c r="C88" s="2" t="s">
        <v>318</v>
      </c>
      <c r="D88" s="2">
        <f>COUNTIF(표1_42[[#All],[작전명]],표1_42[[#This Row],[작전명]])</f>
        <v>1</v>
      </c>
      <c r="E88" s="2" t="s">
        <v>1147</v>
      </c>
      <c r="F88" s="2" t="s">
        <v>1148</v>
      </c>
      <c r="G88" s="2" t="s">
        <v>1149</v>
      </c>
      <c r="H88" s="5" t="s">
        <v>1150</v>
      </c>
      <c r="I88" s="7" t="s">
        <v>1151</v>
      </c>
    </row>
    <row r="89" spans="1:9" x14ac:dyDescent="0.4">
      <c r="A89" s="1">
        <v>262</v>
      </c>
      <c r="B89" s="2">
        <v>2023</v>
      </c>
      <c r="C89" s="2" t="s">
        <v>1597</v>
      </c>
      <c r="D89" s="2">
        <f>COUNTIF(표1_42[[#All],[작전명]],표1_42[[#This Row],[작전명]])</f>
        <v>1</v>
      </c>
      <c r="E89" s="2" t="s">
        <v>1598</v>
      </c>
      <c r="F89" s="2" t="s">
        <v>1599</v>
      </c>
      <c r="G89" s="2" t="s">
        <v>1600</v>
      </c>
      <c r="H89" s="5" t="s">
        <v>1601</v>
      </c>
      <c r="I89" s="6" t="s">
        <v>1602</v>
      </c>
    </row>
    <row r="90" spans="1:9" x14ac:dyDescent="0.4">
      <c r="A90" s="1">
        <v>243</v>
      </c>
      <c r="B90" s="2">
        <v>2023</v>
      </c>
      <c r="C90" s="2" t="s">
        <v>1603</v>
      </c>
      <c r="D90" s="2">
        <f>COUNTIF(표1_42[[#All],[작전명]],표1_42[[#This Row],[작전명]])</f>
        <v>1</v>
      </c>
      <c r="E90" s="2" t="s">
        <v>1604</v>
      </c>
      <c r="F90" s="2" t="s">
        <v>1605</v>
      </c>
      <c r="G90" s="2" t="s">
        <v>1606</v>
      </c>
      <c r="H90" s="5" t="s">
        <v>1607</v>
      </c>
      <c r="I90" s="6" t="s">
        <v>1608</v>
      </c>
    </row>
    <row r="91" spans="1:9" x14ac:dyDescent="0.4">
      <c r="A91" s="1">
        <v>253</v>
      </c>
      <c r="B91" s="2">
        <v>2023</v>
      </c>
      <c r="C91" s="2" t="s">
        <v>1609</v>
      </c>
      <c r="D91" s="2">
        <f>COUNTIF(표1_42[[#All],[작전명]],표1_42[[#This Row],[작전명]])</f>
        <v>1</v>
      </c>
      <c r="E91" s="2" t="s">
        <v>1610</v>
      </c>
      <c r="F91" s="2" t="s">
        <v>1611</v>
      </c>
      <c r="G91" s="2" t="s">
        <v>1612</v>
      </c>
      <c r="H91" s="5" t="s">
        <v>1613</v>
      </c>
      <c r="I91" s="6" t="s">
        <v>1614</v>
      </c>
    </row>
    <row r="92" spans="1:9" x14ac:dyDescent="0.4">
      <c r="A92" s="1">
        <v>289</v>
      </c>
      <c r="B92" s="2">
        <v>2023</v>
      </c>
      <c r="C92" s="2" t="s">
        <v>1615</v>
      </c>
      <c r="D92" s="2">
        <f>COUNTIF(표1_42[[#All],[작전명]],표1_42[[#This Row],[작전명]])</f>
        <v>1</v>
      </c>
      <c r="E92" s="2" t="s">
        <v>1616</v>
      </c>
      <c r="F92" s="2" t="s">
        <v>1617</v>
      </c>
      <c r="G92" s="2" t="s">
        <v>1618</v>
      </c>
      <c r="H92" s="5" t="s">
        <v>1619</v>
      </c>
      <c r="I92" s="6" t="s">
        <v>1620</v>
      </c>
    </row>
    <row r="93" spans="1:9" x14ac:dyDescent="0.4">
      <c r="A93" s="1">
        <v>249</v>
      </c>
      <c r="B93" s="2">
        <v>2023</v>
      </c>
      <c r="C93" s="2" t="s">
        <v>1621</v>
      </c>
      <c r="D93" s="2">
        <f>COUNTIF(표1_42[[#All],[작전명]],표1_42[[#This Row],[작전명]])</f>
        <v>1</v>
      </c>
      <c r="E93" s="2" t="s">
        <v>1622</v>
      </c>
      <c r="F93" s="2" t="s">
        <v>1623</v>
      </c>
      <c r="G93" s="2" t="s">
        <v>1624</v>
      </c>
      <c r="H93" s="5" t="s">
        <v>1625</v>
      </c>
      <c r="I93" s="6" t="s">
        <v>1626</v>
      </c>
    </row>
    <row r="94" spans="1:9" x14ac:dyDescent="0.4">
      <c r="A94" s="1">
        <v>412</v>
      </c>
      <c r="B94" s="2">
        <v>2023</v>
      </c>
      <c r="C94" s="2" t="s">
        <v>1627</v>
      </c>
      <c r="D94" s="2">
        <f>COUNTIF(표1_42[[#All],[작전명]],표1_42[[#This Row],[작전명]])</f>
        <v>1</v>
      </c>
      <c r="E94" s="2" t="s">
        <v>1628</v>
      </c>
      <c r="F94" s="2" t="s">
        <v>1629</v>
      </c>
      <c r="G94" s="2" t="s">
        <v>1630</v>
      </c>
      <c r="H94" s="5" t="s">
        <v>1631</v>
      </c>
      <c r="I94" s="6" t="s">
        <v>1632</v>
      </c>
    </row>
    <row r="95" spans="1:9" x14ac:dyDescent="0.4">
      <c r="A95" s="1">
        <v>212</v>
      </c>
      <c r="B95" s="2">
        <v>2023</v>
      </c>
      <c r="C95" s="2" t="s">
        <v>1633</v>
      </c>
      <c r="D95" s="2">
        <f>COUNTIF(표1_42[[#All],[작전명]],표1_42[[#This Row],[작전명]])</f>
        <v>1</v>
      </c>
      <c r="E95" s="2" t="s">
        <v>1634</v>
      </c>
      <c r="F95" s="2" t="s">
        <v>1635</v>
      </c>
      <c r="G95" s="2" t="s">
        <v>1636</v>
      </c>
      <c r="H95" s="5" t="s">
        <v>1637</v>
      </c>
      <c r="I95" s="6" t="s">
        <v>1638</v>
      </c>
    </row>
    <row r="96" spans="1:9" x14ac:dyDescent="0.4">
      <c r="A96" s="1">
        <v>265</v>
      </c>
      <c r="B96" s="2">
        <v>2023</v>
      </c>
      <c r="C96" s="2" t="s">
        <v>1639</v>
      </c>
      <c r="D96" s="2">
        <f>COUNTIF(표1_42[[#All],[작전명]],표1_42[[#This Row],[작전명]])</f>
        <v>1</v>
      </c>
      <c r="E96" s="2" t="s">
        <v>1640</v>
      </c>
      <c r="F96" s="2" t="s">
        <v>1641</v>
      </c>
      <c r="G96" s="2" t="s">
        <v>1642</v>
      </c>
      <c r="H96" s="5" t="s">
        <v>1643</v>
      </c>
      <c r="I96" s="6" t="s">
        <v>1644</v>
      </c>
    </row>
    <row r="97" spans="1:9" x14ac:dyDescent="0.4">
      <c r="A97" s="1">
        <v>282</v>
      </c>
      <c r="B97" s="2">
        <v>2023</v>
      </c>
      <c r="C97" s="2" t="s">
        <v>1645</v>
      </c>
      <c r="D97" s="2">
        <f>COUNTIF(표1_42[[#All],[작전명]],표1_42[[#This Row],[작전명]])</f>
        <v>1</v>
      </c>
      <c r="E97" s="2" t="s">
        <v>1646</v>
      </c>
      <c r="F97" s="2" t="s">
        <v>1647</v>
      </c>
      <c r="G97" s="2" t="s">
        <v>1648</v>
      </c>
      <c r="H97" s="5" t="s">
        <v>1649</v>
      </c>
      <c r="I97" s="6" t="s">
        <v>1650</v>
      </c>
    </row>
    <row r="98" spans="1:9" x14ac:dyDescent="0.4">
      <c r="A98" s="1">
        <v>248</v>
      </c>
      <c r="B98" s="2">
        <v>2023</v>
      </c>
      <c r="C98" s="2" t="s">
        <v>1651</v>
      </c>
      <c r="D98" s="2">
        <f>COUNTIF(표1_42[[#All],[작전명]],표1_42[[#This Row],[작전명]])</f>
        <v>1</v>
      </c>
      <c r="E98" s="2" t="s">
        <v>1652</v>
      </c>
      <c r="F98" s="2" t="s">
        <v>1653</v>
      </c>
      <c r="G98" s="2" t="s">
        <v>1654</v>
      </c>
      <c r="H98" s="5" t="s">
        <v>1655</v>
      </c>
      <c r="I98" s="6" t="s">
        <v>1656</v>
      </c>
    </row>
    <row r="99" spans="1:9" x14ac:dyDescent="0.4">
      <c r="A99" s="1">
        <v>439</v>
      </c>
      <c r="B99" s="2">
        <v>2023</v>
      </c>
      <c r="C99" s="2" t="s">
        <v>367</v>
      </c>
      <c r="D99" s="2">
        <f>COUNTIF(표1_42[[#All],[작전명]],표1_42[[#This Row],[작전명]])</f>
        <v>1</v>
      </c>
      <c r="E99" s="2" t="s">
        <v>928</v>
      </c>
      <c r="F99" s="2" t="s">
        <v>929</v>
      </c>
      <c r="G99" s="2" t="s">
        <v>930</v>
      </c>
      <c r="H99" s="5" t="s">
        <v>931</v>
      </c>
      <c r="I99" s="6" t="s">
        <v>932</v>
      </c>
    </row>
    <row r="100" spans="1:9" x14ac:dyDescent="0.4">
      <c r="A100" s="1">
        <v>197</v>
      </c>
      <c r="B100" s="2">
        <v>2023</v>
      </c>
      <c r="C100" s="2" t="s">
        <v>184</v>
      </c>
      <c r="D100" s="2">
        <f>COUNTIF(표1_42[[#All],[작전명]],표1_42[[#This Row],[작전명]])</f>
        <v>1</v>
      </c>
      <c r="E100" s="2" t="s">
        <v>943</v>
      </c>
      <c r="F100" s="2" t="s">
        <v>944</v>
      </c>
      <c r="G100" s="2" t="s">
        <v>945</v>
      </c>
      <c r="H100" s="5" t="s">
        <v>946</v>
      </c>
      <c r="I100" s="6" t="s">
        <v>947</v>
      </c>
    </row>
    <row r="101" spans="1:9" x14ac:dyDescent="0.4">
      <c r="A101" s="1">
        <v>244</v>
      </c>
      <c r="B101" s="2">
        <v>2023</v>
      </c>
      <c r="C101" s="2" t="s">
        <v>242</v>
      </c>
      <c r="D101" s="2">
        <f>COUNTIF(표1_42[[#All],[작전명]],표1_42[[#This Row],[작전명]])</f>
        <v>1</v>
      </c>
      <c r="E101" s="2" t="s">
        <v>1087</v>
      </c>
      <c r="F101" s="2" t="s">
        <v>1088</v>
      </c>
      <c r="G101" s="2" t="s">
        <v>1089</v>
      </c>
      <c r="H101" s="5" t="s">
        <v>1090</v>
      </c>
      <c r="I101" s="6" t="s">
        <v>1091</v>
      </c>
    </row>
    <row r="102" spans="1:9" x14ac:dyDescent="0.4">
      <c r="A102" s="1">
        <v>263</v>
      </c>
      <c r="B102" s="2">
        <v>2023</v>
      </c>
      <c r="C102" s="2" t="s">
        <v>258</v>
      </c>
      <c r="D102" s="2">
        <f>COUNTIF(표1_42[[#All],[작전명]],표1_42[[#This Row],[작전명]])</f>
        <v>1</v>
      </c>
      <c r="E102" s="2" t="s">
        <v>1092</v>
      </c>
      <c r="F102" s="2" t="s">
        <v>1093</v>
      </c>
      <c r="G102" s="2" t="s">
        <v>1094</v>
      </c>
      <c r="H102" s="5" t="s">
        <v>1095</v>
      </c>
      <c r="I102" s="6" t="s">
        <v>1096</v>
      </c>
    </row>
    <row r="103" spans="1:9" x14ac:dyDescent="0.4">
      <c r="A103" s="1">
        <v>264</v>
      </c>
      <c r="B103" s="2">
        <v>2023</v>
      </c>
      <c r="C103" s="2" t="s">
        <v>260</v>
      </c>
      <c r="D103" s="2">
        <f>COUNTIF(표1_42[[#All],[작전명]],표1_42[[#This Row],[작전명]])</f>
        <v>1</v>
      </c>
      <c r="E103" s="2" t="s">
        <v>1097</v>
      </c>
      <c r="F103" s="2" t="s">
        <v>1098</v>
      </c>
      <c r="G103" s="2" t="s">
        <v>1099</v>
      </c>
      <c r="H103" s="5" t="s">
        <v>1100</v>
      </c>
      <c r="I103" s="6" t="s">
        <v>1101</v>
      </c>
    </row>
    <row r="104" spans="1:9" x14ac:dyDescent="0.4">
      <c r="A104" s="1">
        <v>307</v>
      </c>
      <c r="B104" s="2">
        <v>2023</v>
      </c>
      <c r="C104" s="2" t="s">
        <v>279</v>
      </c>
      <c r="D104" s="2">
        <f>COUNTIF(표1_42[[#All],[작전명]],표1_42[[#This Row],[작전명]])</f>
        <v>1</v>
      </c>
      <c r="E104" s="2" t="s">
        <v>1107</v>
      </c>
      <c r="F104" s="2" t="s">
        <v>1108</v>
      </c>
      <c r="G104" s="2" t="s">
        <v>1109</v>
      </c>
      <c r="H104" s="5" t="s">
        <v>1110</v>
      </c>
      <c r="I104" s="6" t="s">
        <v>1111</v>
      </c>
    </row>
    <row r="105" spans="1:9" x14ac:dyDescent="0.4">
      <c r="A105" s="1">
        <v>327</v>
      </c>
      <c r="B105" s="2">
        <v>2023</v>
      </c>
      <c r="C105" s="2" t="s">
        <v>293</v>
      </c>
      <c r="D105" s="2">
        <f>COUNTIF(표1_42[[#All],[작전명]],표1_42[[#This Row],[작전명]])</f>
        <v>1</v>
      </c>
      <c r="E105" s="2" t="s">
        <v>1122</v>
      </c>
      <c r="F105" s="2" t="s">
        <v>1123</v>
      </c>
      <c r="G105" s="2" t="s">
        <v>1124</v>
      </c>
      <c r="H105" s="5" t="s">
        <v>1125</v>
      </c>
      <c r="I105" s="6" t="s">
        <v>1126</v>
      </c>
    </row>
    <row r="106" spans="1:9" x14ac:dyDescent="0.4">
      <c r="A106" s="1">
        <v>368</v>
      </c>
      <c r="B106" s="2">
        <v>2023</v>
      </c>
      <c r="C106" s="2" t="s">
        <v>322</v>
      </c>
      <c r="D106" s="2">
        <f>COUNTIF(표1_42[[#All],[작전명]],표1_42[[#This Row],[작전명]])</f>
        <v>1</v>
      </c>
      <c r="E106" s="2" t="s">
        <v>1157</v>
      </c>
      <c r="F106" s="2" t="s">
        <v>1158</v>
      </c>
      <c r="G106" s="2" t="s">
        <v>1159</v>
      </c>
      <c r="H106" s="5" t="s">
        <v>1160</v>
      </c>
      <c r="I106" s="6" t="s">
        <v>1161</v>
      </c>
    </row>
    <row r="107" spans="1:9" x14ac:dyDescent="0.4">
      <c r="A107" s="1">
        <v>408</v>
      </c>
      <c r="B107" s="2">
        <v>2023</v>
      </c>
      <c r="C107" s="2" t="s">
        <v>356</v>
      </c>
      <c r="D107" s="2">
        <f>COUNTIF(표1_42[[#All],[작전명]],표1_42[[#This Row],[작전명]])</f>
        <v>1</v>
      </c>
      <c r="E107" s="2" t="s">
        <v>1212</v>
      </c>
      <c r="F107" s="2" t="s">
        <v>1213</v>
      </c>
      <c r="G107" s="2" t="s">
        <v>1214</v>
      </c>
      <c r="H107" s="5" t="s">
        <v>1215</v>
      </c>
      <c r="I107" s="6" t="s">
        <v>1216</v>
      </c>
    </row>
    <row r="108" spans="1:9" x14ac:dyDescent="0.4">
      <c r="A108" s="1">
        <v>411</v>
      </c>
      <c r="B108" s="2">
        <v>2023</v>
      </c>
      <c r="C108" s="2" t="s">
        <v>357</v>
      </c>
      <c r="D108" s="2">
        <f>COUNTIF(표1_42[[#All],[작전명]],표1_42[[#This Row],[작전명]])</f>
        <v>1</v>
      </c>
      <c r="E108" s="2" t="s">
        <v>1217</v>
      </c>
      <c r="F108" s="2" t="s">
        <v>1218</v>
      </c>
      <c r="G108" s="2" t="s">
        <v>1219</v>
      </c>
      <c r="H108" s="5" t="s">
        <v>1220</v>
      </c>
      <c r="I108" s="6" t="s">
        <v>1221</v>
      </c>
    </row>
    <row r="109" spans="1:9" x14ac:dyDescent="0.4">
      <c r="A109" s="1">
        <v>377</v>
      </c>
      <c r="B109" s="2">
        <v>2024</v>
      </c>
      <c r="C109" s="2" t="s">
        <v>1657</v>
      </c>
      <c r="D109" s="2">
        <f>COUNTIF(표1_42[[#All],[작전명]],표1_42[[#This Row],[작전명]])</f>
        <v>1</v>
      </c>
      <c r="E109" s="2" t="s">
        <v>1658</v>
      </c>
      <c r="F109" s="2" t="s">
        <v>1659</v>
      </c>
      <c r="G109" s="2" t="s">
        <v>1660</v>
      </c>
      <c r="H109" s="5" t="s">
        <v>1661</v>
      </c>
      <c r="I109" s="6" t="s">
        <v>1662</v>
      </c>
    </row>
    <row r="110" spans="1:9" x14ac:dyDescent="0.4">
      <c r="A110" s="1">
        <v>293</v>
      </c>
      <c r="B110" s="2">
        <v>2024</v>
      </c>
      <c r="C110" s="2" t="s">
        <v>1663</v>
      </c>
      <c r="D110" s="2">
        <f>COUNTIF(표1_42[[#All],[작전명]],표1_42[[#This Row],[작전명]])</f>
        <v>1</v>
      </c>
      <c r="E110" s="2" t="s">
        <v>1664</v>
      </c>
      <c r="F110" s="2" t="s">
        <v>1665</v>
      </c>
      <c r="G110" s="2" t="s">
        <v>1666</v>
      </c>
      <c r="H110" s="5" t="s">
        <v>1667</v>
      </c>
      <c r="I110" s="6" t="s">
        <v>1668</v>
      </c>
    </row>
    <row r="111" spans="1:9" x14ac:dyDescent="0.4">
      <c r="A111" s="1">
        <v>343</v>
      </c>
      <c r="B111" s="2">
        <v>2024</v>
      </c>
      <c r="C111" s="2" t="s">
        <v>1669</v>
      </c>
      <c r="D111" s="2">
        <f>COUNTIF(표1_42[[#All],[작전명]],표1_42[[#This Row],[작전명]])</f>
        <v>1</v>
      </c>
      <c r="E111" s="2" t="s">
        <v>1670</v>
      </c>
      <c r="F111" s="2" t="s">
        <v>1671</v>
      </c>
      <c r="G111" s="2" t="s">
        <v>1672</v>
      </c>
      <c r="H111" s="5" t="s">
        <v>1673</v>
      </c>
      <c r="I111" s="6" t="s">
        <v>1674</v>
      </c>
    </row>
    <row r="112" spans="1:9" ht="17.399999999999999" x14ac:dyDescent="0.4">
      <c r="A112" s="1">
        <v>347</v>
      </c>
      <c r="B112" s="2">
        <v>2024</v>
      </c>
      <c r="C112" s="2" t="s">
        <v>1675</v>
      </c>
      <c r="D112" s="2">
        <f>COUNTIF(표1_42[[#All],[작전명]],표1_42[[#This Row],[작전명]])</f>
        <v>1</v>
      </c>
      <c r="E112" s="2" t="s">
        <v>1676</v>
      </c>
      <c r="F112" s="2" t="s">
        <v>1677</v>
      </c>
      <c r="G112" s="2" t="s">
        <v>1678</v>
      </c>
      <c r="H112" s="5" t="s">
        <v>1679</v>
      </c>
      <c r="I112" s="7" t="s">
        <v>1680</v>
      </c>
    </row>
    <row r="113" spans="1:9" ht="17.399999999999999" x14ac:dyDescent="0.4">
      <c r="A113" s="1">
        <v>312</v>
      </c>
      <c r="B113" s="2">
        <v>2024</v>
      </c>
      <c r="C113" s="2" t="s">
        <v>1681</v>
      </c>
      <c r="D113" s="2">
        <f>COUNTIF(표1_42[[#All],[작전명]],표1_42[[#This Row],[작전명]])</f>
        <v>1</v>
      </c>
      <c r="E113" s="2" t="s">
        <v>1682</v>
      </c>
      <c r="F113" s="2" t="s">
        <v>1683</v>
      </c>
      <c r="G113" s="2" t="s">
        <v>1684</v>
      </c>
      <c r="H113" s="5" t="s">
        <v>1685</v>
      </c>
      <c r="I113" s="7" t="s">
        <v>1686</v>
      </c>
    </row>
    <row r="114" spans="1:9" x14ac:dyDescent="0.4">
      <c r="A114" s="1">
        <v>448</v>
      </c>
      <c r="B114" s="2">
        <v>2024</v>
      </c>
      <c r="C114" s="2" t="s">
        <v>1687</v>
      </c>
      <c r="D114" s="2">
        <f>COUNTIF(표1_42[[#All],[작전명]],표1_42[[#This Row],[작전명]])</f>
        <v>1</v>
      </c>
      <c r="E114" s="2" t="s">
        <v>1688</v>
      </c>
      <c r="F114" s="2" t="s">
        <v>1689</v>
      </c>
      <c r="G114" s="2" t="s">
        <v>1690</v>
      </c>
      <c r="H114" s="5" t="s">
        <v>1691</v>
      </c>
      <c r="I114" s="6" t="s">
        <v>1692</v>
      </c>
    </row>
    <row r="115" spans="1:9" x14ac:dyDescent="0.4">
      <c r="A115" s="1">
        <v>342</v>
      </c>
      <c r="B115" s="2">
        <v>2024</v>
      </c>
      <c r="C115" s="2" t="s">
        <v>1693</v>
      </c>
      <c r="D115" s="2">
        <f>COUNTIF(표1_42[[#All],[작전명]],표1_42[[#This Row],[작전명]])</f>
        <v>1</v>
      </c>
      <c r="E115" s="2" t="s">
        <v>1694</v>
      </c>
      <c r="F115" s="2" t="s">
        <v>1695</v>
      </c>
      <c r="G115" s="2" t="s">
        <v>1696</v>
      </c>
      <c r="H115" s="5" t="s">
        <v>1697</v>
      </c>
      <c r="I115" s="6" t="s">
        <v>1698</v>
      </c>
    </row>
    <row r="116" spans="1:9" x14ac:dyDescent="0.4">
      <c r="A116" s="1">
        <v>337</v>
      </c>
      <c r="B116" s="2">
        <v>2024</v>
      </c>
      <c r="C116" s="2" t="s">
        <v>1699</v>
      </c>
      <c r="D116" s="2">
        <f>COUNTIF(표1_42[[#All],[작전명]],표1_42[[#This Row],[작전명]])</f>
        <v>1</v>
      </c>
      <c r="E116" s="2" t="s">
        <v>1700</v>
      </c>
      <c r="F116" s="2" t="s">
        <v>1701</v>
      </c>
      <c r="G116" s="2" t="s">
        <v>1702</v>
      </c>
      <c r="H116" s="5" t="s">
        <v>1703</v>
      </c>
      <c r="I116" s="6" t="s">
        <v>1704</v>
      </c>
    </row>
    <row r="117" spans="1:9" x14ac:dyDescent="0.4">
      <c r="A117" s="1">
        <v>379</v>
      </c>
      <c r="B117" s="2">
        <v>2024</v>
      </c>
      <c r="C117" s="2" t="s">
        <v>1705</v>
      </c>
      <c r="D117" s="2">
        <f>COUNTIF(표1_42[[#All],[작전명]],표1_42[[#This Row],[작전명]])</f>
        <v>1</v>
      </c>
      <c r="E117" s="2" t="s">
        <v>1706</v>
      </c>
      <c r="F117" s="2" t="s">
        <v>1707</v>
      </c>
      <c r="G117" s="2" t="s">
        <v>1708</v>
      </c>
      <c r="H117" s="5" t="s">
        <v>1709</v>
      </c>
      <c r="I117" s="6" t="s">
        <v>1710</v>
      </c>
    </row>
    <row r="118" spans="1:9" x14ac:dyDescent="0.4">
      <c r="A118" s="1">
        <v>488</v>
      </c>
      <c r="B118" s="2">
        <v>2024</v>
      </c>
      <c r="C118" s="2" t="s">
        <v>1711</v>
      </c>
      <c r="D118" s="2">
        <f>COUNTIF(표1_42[[#All],[작전명]],표1_42[[#This Row],[작전명]])</f>
        <v>1</v>
      </c>
      <c r="E118" s="2" t="s">
        <v>1712</v>
      </c>
      <c r="F118" s="2" t="s">
        <v>1713</v>
      </c>
      <c r="G118" s="2" t="s">
        <v>1714</v>
      </c>
      <c r="H118" s="5" t="s">
        <v>1715</v>
      </c>
      <c r="I118" s="6" t="s">
        <v>1716</v>
      </c>
    </row>
    <row r="119" spans="1:9" x14ac:dyDescent="0.4">
      <c r="A119" s="1">
        <v>373</v>
      </c>
      <c r="B119" s="2">
        <v>2024</v>
      </c>
      <c r="C119" s="2" t="s">
        <v>1717</v>
      </c>
      <c r="D119" s="2">
        <f>COUNTIF(표1_42[[#All],[작전명]],표1_42[[#This Row],[작전명]])</f>
        <v>1</v>
      </c>
      <c r="E119" s="2" t="s">
        <v>1718</v>
      </c>
      <c r="F119" s="2" t="s">
        <v>1719</v>
      </c>
      <c r="G119" s="2" t="s">
        <v>1720</v>
      </c>
      <c r="H119" s="5" t="s">
        <v>1721</v>
      </c>
      <c r="I119" s="6" t="s">
        <v>1722</v>
      </c>
    </row>
    <row r="120" spans="1:9" x14ac:dyDescent="0.4">
      <c r="A120" s="1">
        <v>336</v>
      </c>
      <c r="B120" s="2">
        <v>2024</v>
      </c>
      <c r="C120" s="2" t="s">
        <v>1723</v>
      </c>
      <c r="D120" s="2">
        <f>COUNTIF(표1_42[[#All],[작전명]],표1_42[[#This Row],[작전명]])</f>
        <v>1</v>
      </c>
      <c r="E120" s="2" t="s">
        <v>1724</v>
      </c>
      <c r="F120" s="2" t="s">
        <v>1725</v>
      </c>
      <c r="G120" s="2" t="s">
        <v>1726</v>
      </c>
      <c r="H120" s="5" t="s">
        <v>1727</v>
      </c>
      <c r="I120" s="6" t="s">
        <v>1728</v>
      </c>
    </row>
    <row r="121" spans="1:9" ht="17.399999999999999" x14ac:dyDescent="0.4">
      <c r="A121" s="1">
        <v>290</v>
      </c>
      <c r="B121" s="2">
        <v>2024</v>
      </c>
      <c r="C121" s="2" t="s">
        <v>1729</v>
      </c>
      <c r="D121" s="2">
        <f>COUNTIF(표1_42[[#All],[작전명]],표1_42[[#This Row],[작전명]])</f>
        <v>1</v>
      </c>
      <c r="E121" s="2" t="s">
        <v>1730</v>
      </c>
      <c r="F121" s="2" t="s">
        <v>1731</v>
      </c>
      <c r="G121" s="2" t="s">
        <v>1732</v>
      </c>
      <c r="H121" s="5" t="s">
        <v>1733</v>
      </c>
      <c r="I121" s="7" t="s">
        <v>1734</v>
      </c>
    </row>
    <row r="122" spans="1:9" x14ac:dyDescent="0.4">
      <c r="A122" s="1">
        <v>306</v>
      </c>
      <c r="B122" s="2">
        <v>2024</v>
      </c>
      <c r="C122" s="2" t="s">
        <v>274</v>
      </c>
      <c r="D122" s="2">
        <f>COUNTIF(표1_42[[#All],[작전명]],표1_42[[#This Row],[작전명]])</f>
        <v>1</v>
      </c>
      <c r="E122" s="2" t="s">
        <v>1102</v>
      </c>
      <c r="F122" s="2" t="s">
        <v>1103</v>
      </c>
      <c r="G122" s="2" t="s">
        <v>1104</v>
      </c>
      <c r="H122" s="5" t="s">
        <v>1105</v>
      </c>
      <c r="I122" s="6" t="s">
        <v>1106</v>
      </c>
    </row>
    <row r="123" spans="1:9" x14ac:dyDescent="0.4">
      <c r="A123" s="1">
        <v>320</v>
      </c>
      <c r="B123" s="2">
        <v>2024</v>
      </c>
      <c r="C123" s="2" t="s">
        <v>288</v>
      </c>
      <c r="D123" s="2">
        <f>COUNTIF(표1_42[[#All],[작전명]],표1_42[[#This Row],[작전명]])</f>
        <v>1</v>
      </c>
      <c r="E123" s="2" t="s">
        <v>1112</v>
      </c>
      <c r="F123" s="2" t="s">
        <v>1113</v>
      </c>
      <c r="G123" s="2" t="s">
        <v>1114</v>
      </c>
      <c r="H123" s="5" t="s">
        <v>1115</v>
      </c>
      <c r="I123" s="6" t="s">
        <v>1116</v>
      </c>
    </row>
    <row r="124" spans="1:9" x14ac:dyDescent="0.4">
      <c r="A124" s="1">
        <v>324</v>
      </c>
      <c r="B124" s="2">
        <v>2024</v>
      </c>
      <c r="C124" s="2" t="s">
        <v>290</v>
      </c>
      <c r="D124" s="2">
        <f>COUNTIF(표1_42[[#All],[작전명]],표1_42[[#This Row],[작전명]])</f>
        <v>1</v>
      </c>
      <c r="E124" s="2" t="s">
        <v>1117</v>
      </c>
      <c r="F124" s="2" t="s">
        <v>1118</v>
      </c>
      <c r="G124" s="2" t="s">
        <v>1119</v>
      </c>
      <c r="H124" s="5" t="s">
        <v>1120</v>
      </c>
      <c r="I124" s="6" t="s">
        <v>1121</v>
      </c>
    </row>
    <row r="125" spans="1:9" x14ac:dyDescent="0.4">
      <c r="A125" s="1">
        <v>339</v>
      </c>
      <c r="B125" s="2">
        <v>2024</v>
      </c>
      <c r="C125" s="2" t="s">
        <v>299</v>
      </c>
      <c r="D125" s="2">
        <f>COUNTIF(표1_42[[#All],[작전명]],표1_42[[#This Row],[작전명]])</f>
        <v>1</v>
      </c>
      <c r="E125" s="2" t="s">
        <v>1127</v>
      </c>
      <c r="F125" s="2" t="s">
        <v>1128</v>
      </c>
      <c r="G125" s="2" t="s">
        <v>1129</v>
      </c>
      <c r="H125" s="5" t="s">
        <v>1130</v>
      </c>
      <c r="I125" s="6" t="s">
        <v>1131</v>
      </c>
    </row>
    <row r="126" spans="1:9" x14ac:dyDescent="0.4">
      <c r="A126" s="1">
        <v>341</v>
      </c>
      <c r="B126" s="2">
        <v>2024</v>
      </c>
      <c r="C126" s="2" t="s">
        <v>304</v>
      </c>
      <c r="D126" s="2">
        <f>COUNTIF(표1_42[[#All],[작전명]],표1_42[[#This Row],[작전명]])</f>
        <v>1</v>
      </c>
      <c r="E126" s="2" t="s">
        <v>1132</v>
      </c>
      <c r="F126" s="2" t="s">
        <v>1133</v>
      </c>
      <c r="G126" s="2" t="s">
        <v>1134</v>
      </c>
      <c r="H126" s="5" t="s">
        <v>1135</v>
      </c>
      <c r="I126" s="6" t="s">
        <v>1136</v>
      </c>
    </row>
    <row r="127" spans="1:9" x14ac:dyDescent="0.4">
      <c r="A127" s="1">
        <v>353</v>
      </c>
      <c r="B127" s="2">
        <v>2024</v>
      </c>
      <c r="C127" s="2" t="s">
        <v>314</v>
      </c>
      <c r="D127" s="2">
        <f>COUNTIF(표1_42[[#All],[작전명]],표1_42[[#This Row],[작전명]])</f>
        <v>1</v>
      </c>
      <c r="E127" s="2" t="s">
        <v>1137</v>
      </c>
      <c r="F127" s="2" t="s">
        <v>1138</v>
      </c>
      <c r="G127" s="2" t="s">
        <v>1139</v>
      </c>
      <c r="H127" s="5" t="s">
        <v>1140</v>
      </c>
      <c r="I127" s="6" t="s">
        <v>1141</v>
      </c>
    </row>
    <row r="128" spans="1:9" x14ac:dyDescent="0.4">
      <c r="A128" s="1">
        <v>354</v>
      </c>
      <c r="B128" s="2">
        <v>2024</v>
      </c>
      <c r="C128" s="2" t="s">
        <v>315</v>
      </c>
      <c r="D128" s="2">
        <f>COUNTIF(표1_42[[#All],[작전명]],표1_42[[#This Row],[작전명]])</f>
        <v>1</v>
      </c>
      <c r="E128" s="2" t="s">
        <v>1142</v>
      </c>
      <c r="F128" s="2" t="s">
        <v>1143</v>
      </c>
      <c r="G128" s="2" t="s">
        <v>1144</v>
      </c>
      <c r="H128" s="5" t="s">
        <v>1145</v>
      </c>
      <c r="I128" s="6" t="s">
        <v>1146</v>
      </c>
    </row>
    <row r="129" spans="1:9" x14ac:dyDescent="0.4">
      <c r="A129" s="1">
        <v>359</v>
      </c>
      <c r="B129" s="2">
        <v>2024</v>
      </c>
      <c r="C129" s="2" t="s">
        <v>320</v>
      </c>
      <c r="D129" s="2">
        <f>COUNTIF(표1_42[[#All],[작전명]],표1_42[[#This Row],[작전명]])</f>
        <v>1</v>
      </c>
      <c r="E129" s="2" t="s">
        <v>1152</v>
      </c>
      <c r="F129" s="2" t="s">
        <v>1153</v>
      </c>
      <c r="G129" s="2" t="s">
        <v>1154</v>
      </c>
      <c r="H129" s="4" t="s">
        <v>1155</v>
      </c>
      <c r="I129" s="6" t="s">
        <v>1156</v>
      </c>
    </row>
    <row r="130" spans="1:9" x14ac:dyDescent="0.4">
      <c r="A130" s="1">
        <v>369</v>
      </c>
      <c r="B130" s="2">
        <v>2024</v>
      </c>
      <c r="C130" s="2" t="s">
        <v>324</v>
      </c>
      <c r="D130" s="2">
        <f>COUNTIF(표1_42[[#All],[작전명]],표1_42[[#This Row],[작전명]])</f>
        <v>1</v>
      </c>
      <c r="E130" s="4" t="s">
        <v>1162</v>
      </c>
      <c r="F130" s="2" t="s">
        <v>1163</v>
      </c>
      <c r="G130" s="2" t="s">
        <v>1164</v>
      </c>
      <c r="H130" s="5" t="s">
        <v>1165</v>
      </c>
      <c r="I130" s="6" t="s">
        <v>1166</v>
      </c>
    </row>
    <row r="131" spans="1:9" x14ac:dyDescent="0.4">
      <c r="A131" s="1">
        <v>371</v>
      </c>
      <c r="B131" s="2">
        <v>2024</v>
      </c>
      <c r="C131" s="2" t="s">
        <v>328</v>
      </c>
      <c r="D131" s="2">
        <f>COUNTIF(표1_42[[#All],[작전명]],표1_42[[#This Row],[작전명]])</f>
        <v>1</v>
      </c>
      <c r="E131" s="2" t="s">
        <v>1167</v>
      </c>
      <c r="F131" s="2" t="s">
        <v>1168</v>
      </c>
      <c r="G131" s="2" t="s">
        <v>1169</v>
      </c>
      <c r="H131" s="5" t="s">
        <v>1170</v>
      </c>
      <c r="I131" s="6" t="s">
        <v>1171</v>
      </c>
    </row>
    <row r="132" spans="1:9" x14ac:dyDescent="0.4">
      <c r="A132" s="1">
        <v>376</v>
      </c>
      <c r="B132" s="2">
        <v>2024</v>
      </c>
      <c r="C132" s="2" t="s">
        <v>331</v>
      </c>
      <c r="D132" s="2">
        <f>COUNTIF(표1_42[[#All],[작전명]],표1_42[[#This Row],[작전명]])</f>
        <v>1</v>
      </c>
      <c r="E132" s="2" t="s">
        <v>1172</v>
      </c>
      <c r="F132" s="2" t="s">
        <v>1173</v>
      </c>
      <c r="G132" s="2" t="s">
        <v>1174</v>
      </c>
      <c r="H132" s="5" t="s">
        <v>1175</v>
      </c>
      <c r="I132" s="6" t="s">
        <v>1176</v>
      </c>
    </row>
    <row r="133" spans="1:9" x14ac:dyDescent="0.4">
      <c r="A133" s="1">
        <v>380</v>
      </c>
      <c r="B133" s="2">
        <v>2024</v>
      </c>
      <c r="C133" s="2" t="s">
        <v>339</v>
      </c>
      <c r="D133" s="2">
        <f>COUNTIF(표1_42[[#All],[작전명]],표1_42[[#This Row],[작전명]])</f>
        <v>1</v>
      </c>
      <c r="E133" s="2" t="s">
        <v>1177</v>
      </c>
      <c r="F133" s="2" t="s">
        <v>1178</v>
      </c>
      <c r="G133" s="2" t="s">
        <v>1179</v>
      </c>
      <c r="H133" s="5" t="s">
        <v>1180</v>
      </c>
      <c r="I133" s="6" t="s">
        <v>1181</v>
      </c>
    </row>
    <row r="134" spans="1:9" x14ac:dyDescent="0.4">
      <c r="A134" s="1">
        <v>383</v>
      </c>
      <c r="B134" s="2">
        <v>2024</v>
      </c>
      <c r="C134" s="2" t="s">
        <v>341</v>
      </c>
      <c r="D134" s="2">
        <f>COUNTIF(표1_42[[#All],[작전명]],표1_42[[#This Row],[작전명]])</f>
        <v>1</v>
      </c>
      <c r="E134" s="2" t="s">
        <v>1182</v>
      </c>
      <c r="F134" s="2" t="s">
        <v>1183</v>
      </c>
      <c r="G134" s="2" t="s">
        <v>1184</v>
      </c>
      <c r="H134" s="5" t="s">
        <v>1185</v>
      </c>
      <c r="I134" s="6" t="s">
        <v>1186</v>
      </c>
    </row>
    <row r="135" spans="1:9" x14ac:dyDescent="0.4">
      <c r="A135" s="1">
        <v>384</v>
      </c>
      <c r="B135" s="2">
        <v>2024</v>
      </c>
      <c r="C135" s="2" t="s">
        <v>343</v>
      </c>
      <c r="D135" s="2">
        <f>COUNTIF(표1_42[[#All],[작전명]],표1_42[[#This Row],[작전명]])</f>
        <v>1</v>
      </c>
      <c r="E135" s="2" t="s">
        <v>1187</v>
      </c>
      <c r="F135" s="2" t="s">
        <v>1188</v>
      </c>
      <c r="G135" s="2" t="s">
        <v>1189</v>
      </c>
      <c r="H135" s="5" t="s">
        <v>1190</v>
      </c>
      <c r="I135" s="6" t="s">
        <v>1191</v>
      </c>
    </row>
    <row r="136" spans="1:9" x14ac:dyDescent="0.4">
      <c r="A136" s="1">
        <v>477</v>
      </c>
      <c r="B136" s="2">
        <v>2024</v>
      </c>
      <c r="C136" s="2" t="s">
        <v>391</v>
      </c>
      <c r="D136" s="2">
        <f>COUNTIF(표1_42[[#All],[작전명]],표1_42[[#This Row],[작전명]])</f>
        <v>1</v>
      </c>
      <c r="E136" s="2" t="s">
        <v>1242</v>
      </c>
      <c r="F136" s="2" t="s">
        <v>1243</v>
      </c>
      <c r="G136" s="2" t="s">
        <v>1244</v>
      </c>
      <c r="H136" s="5" t="s">
        <v>1245</v>
      </c>
      <c r="I136" s="6" t="s">
        <v>1246</v>
      </c>
    </row>
    <row r="137" spans="1:9" x14ac:dyDescent="0.4">
      <c r="A137" s="1">
        <v>537</v>
      </c>
      <c r="B137" s="2">
        <v>2024</v>
      </c>
      <c r="C137" s="2" t="s">
        <v>417</v>
      </c>
      <c r="D137" s="2">
        <f>COUNTIF(표1_42[[#All],[작전명]],표1_42[[#This Row],[작전명]])</f>
        <v>1</v>
      </c>
      <c r="E137" s="2" t="s">
        <v>1247</v>
      </c>
      <c r="F137" s="2" t="s">
        <v>1248</v>
      </c>
      <c r="G137" s="2" t="s">
        <v>1249</v>
      </c>
      <c r="H137" s="5" t="s">
        <v>1250</v>
      </c>
      <c r="I137" s="6" t="s">
        <v>1251</v>
      </c>
    </row>
    <row r="138" spans="1:9" x14ac:dyDescent="0.4">
      <c r="A138" s="1">
        <v>509</v>
      </c>
      <c r="B138" s="2">
        <v>2025</v>
      </c>
      <c r="C138" s="2" t="s">
        <v>1735</v>
      </c>
      <c r="D138" s="2">
        <f>COUNTIF(표1_42[[#All],[작전명]],표1_42[[#This Row],[작전명]])</f>
        <v>1</v>
      </c>
      <c r="E138" s="2" t="s">
        <v>1736</v>
      </c>
      <c r="F138" s="2" t="s">
        <v>1737</v>
      </c>
      <c r="G138" s="2" t="s">
        <v>1738</v>
      </c>
      <c r="H138" s="5" t="s">
        <v>1739</v>
      </c>
      <c r="I138" s="6" t="s">
        <v>1740</v>
      </c>
    </row>
    <row r="139" spans="1:9" x14ac:dyDescent="0.4">
      <c r="A139" s="1">
        <v>458</v>
      </c>
      <c r="B139" s="2">
        <v>2025</v>
      </c>
      <c r="C139" s="2" t="s">
        <v>1741</v>
      </c>
      <c r="D139" s="2">
        <f>COUNTIF(표1_42[[#All],[작전명]],표1_42[[#This Row],[작전명]])</f>
        <v>1</v>
      </c>
      <c r="E139" s="2" t="s">
        <v>1742</v>
      </c>
      <c r="F139" s="2" t="s">
        <v>1743</v>
      </c>
      <c r="G139" s="2" t="s">
        <v>1744</v>
      </c>
      <c r="H139" s="5" t="s">
        <v>1745</v>
      </c>
      <c r="I139" s="6" t="s">
        <v>1746</v>
      </c>
    </row>
    <row r="140" spans="1:9" x14ac:dyDescent="0.4">
      <c r="A140" s="1">
        <v>532</v>
      </c>
      <c r="B140" s="2">
        <v>2025</v>
      </c>
      <c r="C140" s="2" t="s">
        <v>1747</v>
      </c>
      <c r="D140" s="2">
        <f>COUNTIF(표1_42[[#All],[작전명]],표1_42[[#This Row],[작전명]])</f>
        <v>1</v>
      </c>
      <c r="E140" s="2" t="s">
        <v>1748</v>
      </c>
      <c r="F140" s="2" t="s">
        <v>1749</v>
      </c>
      <c r="G140" s="2" t="s">
        <v>1750</v>
      </c>
      <c r="H140" s="5" t="s">
        <v>1751</v>
      </c>
      <c r="I140" s="6" t="s">
        <v>1752</v>
      </c>
    </row>
    <row r="141" spans="1:9" x14ac:dyDescent="0.4">
      <c r="A141" s="1">
        <v>483</v>
      </c>
      <c r="B141" s="2">
        <v>2025</v>
      </c>
      <c r="C141" s="2" t="s">
        <v>1753</v>
      </c>
      <c r="D141" s="2">
        <f>COUNTIF(표1_42[[#All],[작전명]],표1_42[[#This Row],[작전명]])</f>
        <v>1</v>
      </c>
      <c r="E141" s="2" t="s">
        <v>1754</v>
      </c>
      <c r="F141" s="2" t="s">
        <v>1755</v>
      </c>
      <c r="G141" s="2" t="s">
        <v>1756</v>
      </c>
      <c r="H141" s="5" t="s">
        <v>1757</v>
      </c>
      <c r="I141" s="6" t="s">
        <v>1758</v>
      </c>
    </row>
    <row r="142" spans="1:9" x14ac:dyDescent="0.4">
      <c r="A142" s="1">
        <v>517</v>
      </c>
      <c r="B142" s="2">
        <v>2025</v>
      </c>
      <c r="C142" s="2" t="s">
        <v>1759</v>
      </c>
      <c r="D142" s="2">
        <f>COUNTIF(표1_42[[#All],[작전명]],표1_42[[#This Row],[작전명]])</f>
        <v>1</v>
      </c>
      <c r="E142" s="2" t="s">
        <v>1760</v>
      </c>
      <c r="F142" s="2" t="s">
        <v>1761</v>
      </c>
      <c r="G142" s="2" t="s">
        <v>1762</v>
      </c>
      <c r="H142" s="5" t="s">
        <v>1763</v>
      </c>
      <c r="I142" s="6" t="s">
        <v>1764</v>
      </c>
    </row>
    <row r="143" spans="1:9" x14ac:dyDescent="0.4">
      <c r="A143" s="1">
        <v>457</v>
      </c>
      <c r="B143" s="2">
        <v>2025</v>
      </c>
      <c r="C143" s="2" t="s">
        <v>1765</v>
      </c>
      <c r="D143" s="2">
        <f>COUNTIF(표1_42[[#All],[작전명]],표1_42[[#This Row],[작전명]])</f>
        <v>1</v>
      </c>
      <c r="E143" s="2" t="s">
        <v>1766</v>
      </c>
      <c r="F143" s="2" t="s">
        <v>1767</v>
      </c>
      <c r="G143" s="2" t="s">
        <v>1768</v>
      </c>
      <c r="H143" s="5" t="s">
        <v>1769</v>
      </c>
      <c r="I143" s="6" t="s">
        <v>1770</v>
      </c>
    </row>
    <row r="144" spans="1:9" x14ac:dyDescent="0.4">
      <c r="A144" s="1">
        <v>475</v>
      </c>
      <c r="B144" s="2">
        <v>2025</v>
      </c>
      <c r="C144" s="2" t="s">
        <v>1771</v>
      </c>
      <c r="D144" s="2">
        <f>COUNTIF(표1_42[[#All],[작전명]],표1_42[[#This Row],[작전명]])</f>
        <v>1</v>
      </c>
      <c r="E144" s="2" t="s">
        <v>1772</v>
      </c>
      <c r="F144" s="2" t="s">
        <v>1773</v>
      </c>
      <c r="G144" s="2" t="s">
        <v>1774</v>
      </c>
      <c r="H144" s="5" t="s">
        <v>1775</v>
      </c>
      <c r="I144" s="6" t="s">
        <v>1776</v>
      </c>
    </row>
    <row r="145" spans="1:9" x14ac:dyDescent="0.4">
      <c r="A145" s="1">
        <v>540</v>
      </c>
      <c r="B145" s="2">
        <v>2025</v>
      </c>
      <c r="C145" s="2" t="s">
        <v>1777</v>
      </c>
      <c r="D145" s="2">
        <f>COUNTIF(표1_42[[#All],[작전명]],표1_42[[#This Row],[작전명]])</f>
        <v>1</v>
      </c>
      <c r="E145" s="2" t="s">
        <v>1778</v>
      </c>
      <c r="F145" s="2" t="s">
        <v>1779</v>
      </c>
      <c r="G145" s="2" t="s">
        <v>1780</v>
      </c>
      <c r="H145" s="5" t="s">
        <v>1781</v>
      </c>
      <c r="I145" s="6" t="s">
        <v>1782</v>
      </c>
    </row>
    <row r="146" spans="1:9" x14ac:dyDescent="0.4">
      <c r="A146" s="1">
        <v>420</v>
      </c>
      <c r="B146" s="2">
        <v>2025</v>
      </c>
      <c r="C146" s="2" t="s">
        <v>1783</v>
      </c>
      <c r="D146" s="2">
        <f>COUNTIF(표1_42[[#All],[작전명]],표1_42[[#This Row],[작전명]])</f>
        <v>1</v>
      </c>
      <c r="E146" s="2" t="s">
        <v>1784</v>
      </c>
      <c r="F146" s="2" t="s">
        <v>1785</v>
      </c>
      <c r="G146" s="2" t="s">
        <v>1786</v>
      </c>
      <c r="H146" s="5" t="s">
        <v>1787</v>
      </c>
      <c r="I146" s="6" t="s">
        <v>1788</v>
      </c>
    </row>
    <row r="147" spans="1:9" x14ac:dyDescent="0.4">
      <c r="A147" s="1">
        <v>397</v>
      </c>
      <c r="B147" s="2">
        <v>2025</v>
      </c>
      <c r="C147" s="2" t="s">
        <v>1789</v>
      </c>
      <c r="D147" s="2">
        <f>COUNTIF(표1_42[[#All],[작전명]],표1_42[[#This Row],[작전명]])</f>
        <v>1</v>
      </c>
      <c r="E147" s="2" t="s">
        <v>1790</v>
      </c>
      <c r="F147" s="2" t="s">
        <v>1791</v>
      </c>
      <c r="G147" s="2" t="s">
        <v>1792</v>
      </c>
      <c r="H147" s="5" t="s">
        <v>1793</v>
      </c>
      <c r="I147" s="6" t="s">
        <v>1794</v>
      </c>
    </row>
    <row r="148" spans="1:9" x14ac:dyDescent="0.4">
      <c r="A148" s="1">
        <v>515</v>
      </c>
      <c r="B148" s="2">
        <v>2025</v>
      </c>
      <c r="C148" s="2" t="s">
        <v>1795</v>
      </c>
      <c r="D148" s="2">
        <f>COUNTIF(표1_42[[#All],[작전명]],표1_42[[#This Row],[작전명]])</f>
        <v>1</v>
      </c>
      <c r="E148" s="2" t="s">
        <v>1796</v>
      </c>
      <c r="F148" s="2" t="s">
        <v>1797</v>
      </c>
      <c r="G148" s="2" t="s">
        <v>1798</v>
      </c>
      <c r="H148" s="5" t="s">
        <v>1799</v>
      </c>
      <c r="I148" s="6" t="s">
        <v>1800</v>
      </c>
    </row>
    <row r="149" spans="1:9" x14ac:dyDescent="0.4">
      <c r="A149" s="1">
        <v>453</v>
      </c>
      <c r="B149" s="2">
        <v>2025</v>
      </c>
      <c r="C149" s="2" t="s">
        <v>1801</v>
      </c>
      <c r="D149" s="2">
        <f>COUNTIF(표1_42[[#All],[작전명]],표1_42[[#This Row],[작전명]])</f>
        <v>1</v>
      </c>
      <c r="E149" s="2" t="s">
        <v>1802</v>
      </c>
      <c r="F149" s="2" t="s">
        <v>1803</v>
      </c>
      <c r="G149" s="2" t="s">
        <v>1804</v>
      </c>
      <c r="H149" s="5" t="s">
        <v>1805</v>
      </c>
      <c r="I149" s="6" t="s">
        <v>1806</v>
      </c>
    </row>
    <row r="150" spans="1:9" x14ac:dyDescent="0.4">
      <c r="A150" s="1">
        <v>403</v>
      </c>
      <c r="B150" s="2">
        <v>2025</v>
      </c>
      <c r="C150" s="2" t="s">
        <v>1807</v>
      </c>
      <c r="D150" s="2">
        <f>COUNTIF(표1_42[[#All],[작전명]],표1_42[[#This Row],[작전명]])</f>
        <v>1</v>
      </c>
      <c r="E150" s="2" t="s">
        <v>1808</v>
      </c>
      <c r="F150" s="2" t="s">
        <v>1809</v>
      </c>
      <c r="G150" s="2" t="s">
        <v>1810</v>
      </c>
      <c r="H150" s="5" t="s">
        <v>1811</v>
      </c>
      <c r="I150" s="6" t="s">
        <v>1812</v>
      </c>
    </row>
    <row r="151" spans="1:9" x14ac:dyDescent="0.4">
      <c r="A151" s="1">
        <v>510</v>
      </c>
      <c r="B151" s="2">
        <v>2025</v>
      </c>
      <c r="C151" s="2" t="s">
        <v>1813</v>
      </c>
      <c r="D151" s="2">
        <f>COUNTIF(표1_42[[#All],[작전명]],표1_42[[#This Row],[작전명]])</f>
        <v>1</v>
      </c>
      <c r="E151" s="2" t="s">
        <v>1814</v>
      </c>
      <c r="F151" s="2" t="s">
        <v>1815</v>
      </c>
      <c r="G151" s="2" t="s">
        <v>1816</v>
      </c>
      <c r="H151" s="5" t="s">
        <v>1817</v>
      </c>
      <c r="I151" s="6" t="s">
        <v>1818</v>
      </c>
    </row>
    <row r="152" spans="1:9" x14ac:dyDescent="0.4">
      <c r="A152" s="1">
        <v>461</v>
      </c>
      <c r="B152" s="2">
        <v>2025</v>
      </c>
      <c r="C152" s="2" t="s">
        <v>1819</v>
      </c>
      <c r="D152" s="2">
        <f>COUNTIF(표1_42[[#All],[작전명]],표1_42[[#This Row],[작전명]])</f>
        <v>1</v>
      </c>
      <c r="E152" s="2" t="s">
        <v>1820</v>
      </c>
      <c r="F152" s="2" t="s">
        <v>1821</v>
      </c>
      <c r="G152" s="2" t="s">
        <v>1822</v>
      </c>
      <c r="H152" s="5" t="s">
        <v>1823</v>
      </c>
      <c r="I152" s="6" t="s">
        <v>1824</v>
      </c>
    </row>
    <row r="153" spans="1:9" x14ac:dyDescent="0.4">
      <c r="A153" s="1">
        <v>538</v>
      </c>
      <c r="B153" s="2">
        <v>2025</v>
      </c>
      <c r="C153" s="2" t="s">
        <v>1825</v>
      </c>
      <c r="D153" s="2">
        <f>COUNTIF(표1_42[[#All],[작전명]],표1_42[[#This Row],[작전명]])</f>
        <v>1</v>
      </c>
      <c r="E153" s="2" t="s">
        <v>1826</v>
      </c>
      <c r="F153" s="2" t="s">
        <v>1827</v>
      </c>
      <c r="G153" s="2" t="s">
        <v>1828</v>
      </c>
      <c r="H153" s="5" t="s">
        <v>1829</v>
      </c>
      <c r="I153" s="6" t="s">
        <v>1830</v>
      </c>
    </row>
    <row r="154" spans="1:9" x14ac:dyDescent="0.4">
      <c r="A154" s="1">
        <v>526</v>
      </c>
      <c r="B154" s="2">
        <v>2025</v>
      </c>
      <c r="C154" s="2" t="s">
        <v>1831</v>
      </c>
      <c r="D154" s="2">
        <f>COUNTIF(표1_42[[#All],[작전명]],표1_42[[#This Row],[작전명]])</f>
        <v>1</v>
      </c>
      <c r="E154" s="2" t="s">
        <v>1832</v>
      </c>
      <c r="F154" s="2" t="s">
        <v>1833</v>
      </c>
      <c r="G154" s="2" t="s">
        <v>1834</v>
      </c>
      <c r="H154" s="5" t="s">
        <v>1835</v>
      </c>
      <c r="I154" s="6" t="s">
        <v>1836</v>
      </c>
    </row>
    <row r="155" spans="1:9" x14ac:dyDescent="0.4">
      <c r="A155" s="1">
        <v>536</v>
      </c>
      <c r="B155" s="2">
        <v>2025</v>
      </c>
      <c r="C155" s="2" t="s">
        <v>1837</v>
      </c>
      <c r="D155" s="2">
        <f>COUNTIF(표1_42[[#All],[작전명]],표1_42[[#This Row],[작전명]])</f>
        <v>1</v>
      </c>
      <c r="E155" s="2" t="s">
        <v>1838</v>
      </c>
      <c r="F155" s="2" t="s">
        <v>1839</v>
      </c>
      <c r="G155" s="2" t="s">
        <v>1840</v>
      </c>
      <c r="H155" s="5" t="s">
        <v>1841</v>
      </c>
      <c r="I155" s="6" t="s">
        <v>1842</v>
      </c>
    </row>
    <row r="156" spans="1:9" x14ac:dyDescent="0.4">
      <c r="A156" s="1">
        <v>428</v>
      </c>
      <c r="B156" s="2">
        <v>2025</v>
      </c>
      <c r="C156" s="2" t="s">
        <v>365</v>
      </c>
      <c r="D156" s="2">
        <f>COUNTIF(표1_42[[#All],[작전명]],표1_42[[#This Row],[작전명]])</f>
        <v>1</v>
      </c>
      <c r="E156" s="2" t="s">
        <v>938</v>
      </c>
      <c r="F156" s="2" t="s">
        <v>939</v>
      </c>
      <c r="G156" s="2" t="s">
        <v>940</v>
      </c>
      <c r="H156" s="5" t="s">
        <v>941</v>
      </c>
      <c r="I156" s="6" t="s">
        <v>942</v>
      </c>
    </row>
    <row r="157" spans="1:9" x14ac:dyDescent="0.4">
      <c r="A157" s="1">
        <v>389</v>
      </c>
      <c r="B157" s="2">
        <v>2025</v>
      </c>
      <c r="C157" s="2" t="s">
        <v>345</v>
      </c>
      <c r="D157" s="2">
        <f>COUNTIF(표1_42[[#All],[작전명]],표1_42[[#This Row],[작전명]])</f>
        <v>1</v>
      </c>
      <c r="E157" s="2" t="s">
        <v>1192</v>
      </c>
      <c r="F157" s="2" t="s">
        <v>1193</v>
      </c>
      <c r="G157" s="2" t="s">
        <v>1194</v>
      </c>
      <c r="H157" s="5" t="s">
        <v>1195</v>
      </c>
      <c r="I157" s="6" t="s">
        <v>1196</v>
      </c>
    </row>
    <row r="158" spans="1:9" x14ac:dyDescent="0.4">
      <c r="A158" s="1">
        <v>394</v>
      </c>
      <c r="B158" s="2">
        <v>2025</v>
      </c>
      <c r="C158" s="2" t="s">
        <v>346</v>
      </c>
      <c r="D158" s="2">
        <f>COUNTIF(표1_42[[#All],[작전명]],표1_42[[#This Row],[작전명]])</f>
        <v>1</v>
      </c>
      <c r="E158" s="2" t="s">
        <v>1197</v>
      </c>
      <c r="F158" s="2" t="s">
        <v>1198</v>
      </c>
      <c r="G158" s="2" t="s">
        <v>1199</v>
      </c>
      <c r="H158" s="5" t="s">
        <v>1200</v>
      </c>
      <c r="I158" s="6" t="s">
        <v>1201</v>
      </c>
    </row>
    <row r="159" spans="1:9" x14ac:dyDescent="0.4">
      <c r="A159" s="1">
        <v>396</v>
      </c>
      <c r="B159" s="2">
        <v>2025</v>
      </c>
      <c r="C159" s="2" t="s">
        <v>347</v>
      </c>
      <c r="D159" s="2">
        <f>COUNTIF(표1_42[[#All],[작전명]],표1_42[[#This Row],[작전명]])</f>
        <v>1</v>
      </c>
      <c r="E159" s="2" t="s">
        <v>1202</v>
      </c>
      <c r="F159" s="2" t="s">
        <v>1203</v>
      </c>
      <c r="G159" s="2" t="s">
        <v>1204</v>
      </c>
      <c r="H159" s="5" t="s">
        <v>1205</v>
      </c>
      <c r="I159" s="6" t="s">
        <v>1206</v>
      </c>
    </row>
    <row r="160" spans="1:9" x14ac:dyDescent="0.4">
      <c r="A160" s="1">
        <v>400</v>
      </c>
      <c r="B160" s="2">
        <v>2025</v>
      </c>
      <c r="C160" s="2" t="s">
        <v>350</v>
      </c>
      <c r="D160" s="2">
        <f>COUNTIF(표1_42[[#All],[작전명]],표1_42[[#This Row],[작전명]])</f>
        <v>1</v>
      </c>
      <c r="E160" s="2" t="s">
        <v>1207</v>
      </c>
      <c r="F160" s="2" t="s">
        <v>1208</v>
      </c>
      <c r="G160" s="2" t="s">
        <v>1209</v>
      </c>
      <c r="H160" s="5" t="s">
        <v>1210</v>
      </c>
      <c r="I160" s="6" t="s">
        <v>1211</v>
      </c>
    </row>
    <row r="161" spans="1:9" x14ac:dyDescent="0.4">
      <c r="A161" s="1">
        <v>421</v>
      </c>
      <c r="B161" s="2">
        <v>2025</v>
      </c>
      <c r="C161" s="2" t="s">
        <v>363</v>
      </c>
      <c r="D161" s="2">
        <f>COUNTIF(표1_42[[#All],[작전명]],표1_42[[#This Row],[작전명]])</f>
        <v>1</v>
      </c>
      <c r="E161" s="2" t="s">
        <v>1222</v>
      </c>
      <c r="F161" s="2" t="s">
        <v>1223</v>
      </c>
      <c r="G161" s="2" t="s">
        <v>1224</v>
      </c>
      <c r="H161" s="5" t="s">
        <v>1225</v>
      </c>
      <c r="I161" s="6" t="s">
        <v>1226</v>
      </c>
    </row>
    <row r="162" spans="1:9" x14ac:dyDescent="0.4">
      <c r="A162" s="1">
        <v>422</v>
      </c>
      <c r="B162" s="2">
        <v>2025</v>
      </c>
      <c r="C162" s="2" t="s">
        <v>364</v>
      </c>
      <c r="D162" s="2">
        <f>COUNTIF(표1_42[[#All],[작전명]],표1_42[[#This Row],[작전명]])</f>
        <v>1</v>
      </c>
      <c r="E162" s="2" t="s">
        <v>1227</v>
      </c>
      <c r="F162" s="2" t="s">
        <v>1228</v>
      </c>
      <c r="G162" s="2" t="s">
        <v>1229</v>
      </c>
      <c r="H162" s="5" t="s">
        <v>1230</v>
      </c>
      <c r="I162" s="6" t="s">
        <v>1231</v>
      </c>
    </row>
    <row r="163" spans="1:9" x14ac:dyDescent="0.4">
      <c r="A163" s="1">
        <v>464</v>
      </c>
      <c r="B163" s="2">
        <v>2025</v>
      </c>
      <c r="C163" s="2" t="s">
        <v>381</v>
      </c>
      <c r="D163" s="2">
        <f>COUNTIF(표1_42[[#All],[작전명]],표1_42[[#This Row],[작전명]])</f>
        <v>1</v>
      </c>
      <c r="E163" s="2" t="s">
        <v>1232</v>
      </c>
      <c r="F163" s="2" t="s">
        <v>1233</v>
      </c>
      <c r="G163" s="2" t="s">
        <v>1234</v>
      </c>
      <c r="H163" s="5" t="s">
        <v>1235</v>
      </c>
      <c r="I163" s="6" t="s">
        <v>1236</v>
      </c>
    </row>
    <row r="164" spans="1:9" x14ac:dyDescent="0.4">
      <c r="A164" s="1">
        <v>470</v>
      </c>
      <c r="B164" s="2">
        <v>2025</v>
      </c>
      <c r="C164" s="2" t="s">
        <v>384</v>
      </c>
      <c r="D164" s="2">
        <f>COUNTIF(표1_42[[#All],[작전명]],표1_42[[#This Row],[작전명]])</f>
        <v>1</v>
      </c>
      <c r="E164" s="2" t="s">
        <v>1237</v>
      </c>
      <c r="F164" s="2" t="s">
        <v>1238</v>
      </c>
      <c r="G164" s="2" t="s">
        <v>1239</v>
      </c>
      <c r="H164" s="5" t="s">
        <v>1240</v>
      </c>
      <c r="I164" s="6" t="s">
        <v>1241</v>
      </c>
    </row>
    <row r="165" spans="1:9" x14ac:dyDescent="0.4">
      <c r="A165" s="1">
        <v>555</v>
      </c>
      <c r="B165" s="2">
        <v>2025</v>
      </c>
      <c r="C165" s="2" t="s">
        <v>423</v>
      </c>
      <c r="D165" s="2">
        <f>COUNTIF(표1_42[[#All],[작전명]],표1_42[[#This Row],[작전명]])</f>
        <v>1</v>
      </c>
      <c r="E165" s="2" t="s">
        <v>1252</v>
      </c>
      <c r="F165" s="2" t="s">
        <v>1253</v>
      </c>
      <c r="G165" s="2" t="s">
        <v>1254</v>
      </c>
      <c r="H165" s="5" t="s">
        <v>1255</v>
      </c>
      <c r="I165" s="6" t="s">
        <v>1256</v>
      </c>
    </row>
  </sheetData>
  <phoneticPr fontId="2" type="noConversion"/>
  <hyperlinks>
    <hyperlink ref="I5" r:id="rId1" xr:uid="{E5E03A98-AFAF-4F4B-BB21-8A40F3D42731}"/>
    <hyperlink ref="I2" r:id="rId2" xr:uid="{922D8203-DCF1-44B0-9393-EA773469ADFE}"/>
    <hyperlink ref="I4" r:id="rId3" xr:uid="{CA624965-3AAE-467A-AC85-9A0A0D78E805}"/>
    <hyperlink ref="I11" r:id="rId4" xr:uid="{DE08A315-2E15-40CE-88E7-6EA5EB289BEA}"/>
    <hyperlink ref="I10" r:id="rId5" xr:uid="{A6C623BF-741F-47C0-BDC7-8DA916164599}"/>
    <hyperlink ref="I8" r:id="rId6" xr:uid="{3F018879-0E5B-43DF-9A68-8D4D7E8E4949}"/>
    <hyperlink ref="I7" r:id="rId7" xr:uid="{4A9E478A-EDD8-4788-9656-690D3B540C32}"/>
    <hyperlink ref="I9" r:id="rId8" xr:uid="{991C01BA-DC66-4846-8010-E2A128347BE5}"/>
    <hyperlink ref="I21" r:id="rId9" xr:uid="{2656C741-7532-42E2-A109-8D29A5C5FB55}"/>
    <hyperlink ref="I6" r:id="rId10" xr:uid="{71143ADC-CA70-42DD-BAE9-576A66E6D86E}"/>
    <hyperlink ref="I13" r:id="rId11" xr:uid="{EFD36E90-02E0-4598-BA0F-62212FBA4994}"/>
    <hyperlink ref="I15" r:id="rId12" xr:uid="{28B551BC-64AC-4B2E-9CA6-50FA78DED901}"/>
    <hyperlink ref="I12" r:id="rId13" xr:uid="{57DB01DA-E95F-4F23-9944-C36A64EE1DBB}"/>
    <hyperlink ref="I17" r:id="rId14" xr:uid="{95E3A888-8F5F-4698-AF09-88A7D922DEB5}"/>
    <hyperlink ref="I16" r:id="rId15" xr:uid="{96013DF7-2E33-4199-BCE9-FAC3D0A6F032}"/>
    <hyperlink ref="I14" r:id="rId16" xr:uid="{DFC6DB1F-74C6-4B70-9949-0846A70889C4}"/>
    <hyperlink ref="I18" r:id="rId17" xr:uid="{37170A94-F4F0-45B9-879F-BD7D0C32732E}"/>
    <hyperlink ref="I23" r:id="rId18" xr:uid="{0E403EC9-118F-49A2-96CA-4E60D8F01DC8}"/>
    <hyperlink ref="I22" r:id="rId19" xr:uid="{7A390A98-B260-4C8B-98E6-FB459E5F311A}"/>
    <hyperlink ref="I24" r:id="rId20" xr:uid="{11096627-CFF1-418A-8A13-7CFF7BA048A5}"/>
    <hyperlink ref="I25" r:id="rId21" xr:uid="{AFA3A979-FBE2-4045-9775-946375B96AB3}"/>
    <hyperlink ref="I26" r:id="rId22" xr:uid="{78CA990B-808F-4FA7-9006-AC755D354551}"/>
    <hyperlink ref="I27" r:id="rId23" xr:uid="{A86DC4A2-17A4-4317-ACD6-6E5E3C9C596F}"/>
    <hyperlink ref="I32" r:id="rId24" xr:uid="{A1EC002C-FCF4-4C2D-BAA5-C04A721CA0EE}"/>
    <hyperlink ref="I19" r:id="rId25" xr:uid="{360423AB-EE08-49AA-8583-6A3C0E725937}"/>
    <hyperlink ref="I28" r:id="rId26" xr:uid="{EDD1F45D-A44E-4231-A1E7-6CD225D44A99}"/>
    <hyperlink ref="I20" r:id="rId27" xr:uid="{8B0DDCBC-CB8A-4665-BB04-B67FEDD03FDA}"/>
    <hyperlink ref="I34" r:id="rId28" xr:uid="{D355DD85-ED10-4111-BEB9-B6F43B6D1AFA}"/>
    <hyperlink ref="I36" r:id="rId29" xr:uid="{687A1028-9AFE-4C9F-9BFC-5785BA82CDB4}"/>
    <hyperlink ref="I30" r:id="rId30" xr:uid="{286DD31A-98CF-4E91-B9C2-D9EE614A4B8A}"/>
    <hyperlink ref="I144" r:id="rId31" xr:uid="{3B6C3281-60AF-41E0-A489-884188F2969F}"/>
    <hyperlink ref="I141" r:id="rId32" xr:uid="{D1E8F28A-266D-4524-A727-41A408B4B122}"/>
    <hyperlink ref="I3" r:id="rId33" xr:uid="{7081BF9A-187C-488B-AD58-B16E734105E9}"/>
    <hyperlink ref="I106" r:id="rId34" xr:uid="{6E3F6C3C-2842-4A2D-B5F9-E49C46178CBC}"/>
    <hyperlink ref="I112" r:id="rId35" xr:uid="{05CF3B1D-0164-4D2D-BA10-6FD14913A913}"/>
    <hyperlink ref="I113" r:id="rId36" xr:uid="{33D57BA7-4ED9-47D5-B13B-16FF585209C4}"/>
    <hyperlink ref="I121" r:id="rId37" xr:uid="{DAB480E4-8A29-48ED-8363-E39ED8A136D3}"/>
    <hyperlink ref="I42" r:id="rId38" xr:uid="{E3985A8F-64F2-4F5B-8CDF-302C25A24D21}"/>
    <hyperlink ref="I88" r:id="rId39" xr:uid="{5CE7F429-60E6-4BAC-9DCA-BA3434668C43}"/>
    <hyperlink ref="I33" r:id="rId40" xr:uid="{E4DAA120-35AE-42E0-9E83-E9B517677DE9}"/>
  </hyperlinks>
  <pageMargins left="0.7" right="0.7" top="0.75" bottom="0.75" header="0.3" footer="0.3"/>
  <tableParts count="1">
    <tablePart r:id="rId4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B7FD0-B6F5-4287-AF89-F7332A90602C}">
  <dimension ref="A1:X166"/>
  <sheetViews>
    <sheetView zoomScaleNormal="100" workbookViewId="0"/>
  </sheetViews>
  <sheetFormatPr defaultRowHeight="17.399999999999999" x14ac:dyDescent="0.4"/>
  <cols>
    <col min="1" max="1" width="8.796875" style="1" bestFit="1" customWidth="1"/>
    <col min="2" max="2" width="36.59765625" style="1" customWidth="1"/>
    <col min="3" max="3" width="20.296875" style="2" bestFit="1" customWidth="1"/>
    <col min="4" max="4" width="21" bestFit="1" customWidth="1"/>
    <col min="5" max="5" width="30.19921875" bestFit="1" customWidth="1"/>
    <col min="6" max="6" width="21.5" bestFit="1" customWidth="1"/>
    <col min="7" max="7" width="17.296875" bestFit="1" customWidth="1"/>
    <col min="8" max="9" width="21" bestFit="1" customWidth="1"/>
    <col min="10" max="10" width="30.19921875" bestFit="1" customWidth="1"/>
    <col min="11" max="11" width="19.09765625" bestFit="1" customWidth="1"/>
    <col min="12" max="12" width="12.19921875" bestFit="1" customWidth="1"/>
    <col min="13" max="14" width="13.59765625" bestFit="1" customWidth="1"/>
    <col min="15" max="16" width="12.19921875" bestFit="1" customWidth="1"/>
    <col min="17" max="19" width="13.59765625" bestFit="1" customWidth="1"/>
    <col min="20" max="22" width="12.19921875" bestFit="1" customWidth="1"/>
    <col min="23" max="23" width="13.59765625" bestFit="1" customWidth="1"/>
    <col min="24" max="24" width="12.19921875" bestFit="1" customWidth="1"/>
  </cols>
  <sheetData>
    <row r="1" spans="1:24" x14ac:dyDescent="0.4">
      <c r="A1" s="1" t="s">
        <v>425</v>
      </c>
      <c r="B1" s="1" t="s">
        <v>424</v>
      </c>
      <c r="C1" s="2" t="s">
        <v>619</v>
      </c>
      <c r="D1" s="2" t="s">
        <v>620</v>
      </c>
      <c r="E1" s="2" t="s">
        <v>621</v>
      </c>
      <c r="F1" s="2" t="s">
        <v>622</v>
      </c>
      <c r="G1" s="2" t="s">
        <v>623</v>
      </c>
      <c r="H1" s="2" t="s">
        <v>624</v>
      </c>
      <c r="I1" s="2" t="s">
        <v>625</v>
      </c>
      <c r="J1" s="2" t="s">
        <v>626</v>
      </c>
      <c r="K1" s="2" t="s">
        <v>627</v>
      </c>
      <c r="L1" s="2" t="s">
        <v>628</v>
      </c>
      <c r="M1" s="2" t="s">
        <v>629</v>
      </c>
      <c r="N1" s="2" t="s">
        <v>630</v>
      </c>
      <c r="O1" s="2" t="s">
        <v>631</v>
      </c>
      <c r="P1" s="2" t="s">
        <v>632</v>
      </c>
      <c r="Q1" s="2" t="s">
        <v>633</v>
      </c>
      <c r="R1" s="2" t="s">
        <v>634</v>
      </c>
      <c r="S1" s="2" t="s">
        <v>635</v>
      </c>
      <c r="T1" s="2" t="s">
        <v>636</v>
      </c>
      <c r="U1" s="2" t="s">
        <v>637</v>
      </c>
      <c r="V1" s="2" t="s">
        <v>638</v>
      </c>
      <c r="W1" s="2" t="s">
        <v>639</v>
      </c>
      <c r="X1" s="2" t="s">
        <v>640</v>
      </c>
    </row>
    <row r="2" spans="1:24" x14ac:dyDescent="0.4">
      <c r="A2" s="1">
        <v>9</v>
      </c>
      <c r="B2" s="1" t="s">
        <v>13</v>
      </c>
      <c r="C2" s="2" t="s">
        <v>641</v>
      </c>
      <c r="D2" s="2" t="s">
        <v>642</v>
      </c>
      <c r="E2" s="2" t="s">
        <v>643</v>
      </c>
      <c r="F2" s="2" t="s">
        <v>644</v>
      </c>
      <c r="G2" s="2"/>
      <c r="H2" s="2"/>
      <c r="I2" s="2"/>
      <c r="J2" s="2"/>
      <c r="K2" s="2"/>
      <c r="L2" s="2"/>
      <c r="M2" s="2"/>
      <c r="N2" s="2"/>
      <c r="O2" s="2"/>
      <c r="P2" s="2"/>
      <c r="Q2" s="2"/>
      <c r="R2" s="2"/>
      <c r="S2" s="2"/>
      <c r="T2" s="2"/>
      <c r="U2" s="2"/>
      <c r="V2" s="2"/>
      <c r="W2" s="2"/>
      <c r="X2" s="2"/>
    </row>
    <row r="3" spans="1:24" x14ac:dyDescent="0.4">
      <c r="A3" s="1">
        <v>15</v>
      </c>
      <c r="B3" s="1" t="s">
        <v>20</v>
      </c>
      <c r="C3" s="2" t="s">
        <v>645</v>
      </c>
      <c r="D3" s="2" t="s">
        <v>646</v>
      </c>
      <c r="E3" s="2" t="s">
        <v>647</v>
      </c>
      <c r="F3" s="2" t="s">
        <v>648</v>
      </c>
      <c r="G3" s="2"/>
      <c r="H3" s="2"/>
      <c r="I3" s="2"/>
      <c r="J3" s="2"/>
      <c r="K3" s="2"/>
      <c r="L3" s="2"/>
      <c r="M3" s="2"/>
      <c r="N3" s="2"/>
      <c r="O3" s="2"/>
      <c r="P3" s="2"/>
      <c r="Q3" s="2"/>
      <c r="R3" s="2"/>
      <c r="S3" s="2"/>
      <c r="T3" s="2"/>
      <c r="U3" s="2"/>
      <c r="V3" s="2"/>
      <c r="W3" s="2"/>
      <c r="X3" s="2"/>
    </row>
    <row r="4" spans="1:24" x14ac:dyDescent="0.4">
      <c r="A4" s="1">
        <v>22</v>
      </c>
      <c r="B4" s="1" t="s">
        <v>24</v>
      </c>
      <c r="C4" s="2" t="s">
        <v>649</v>
      </c>
      <c r="D4" s="2" t="s">
        <v>642</v>
      </c>
      <c r="E4" s="2" t="s">
        <v>641</v>
      </c>
      <c r="F4" s="2" t="s">
        <v>650</v>
      </c>
      <c r="G4" s="2" t="s">
        <v>651</v>
      </c>
      <c r="H4" s="2" t="s">
        <v>652</v>
      </c>
      <c r="I4" s="2" t="s">
        <v>653</v>
      </c>
      <c r="J4" s="2" t="s">
        <v>654</v>
      </c>
      <c r="K4" s="2" t="s">
        <v>655</v>
      </c>
      <c r="L4" s="2" t="s">
        <v>656</v>
      </c>
      <c r="M4" s="2" t="s">
        <v>657</v>
      </c>
      <c r="N4" s="2" t="s">
        <v>658</v>
      </c>
      <c r="O4" s="2" t="s">
        <v>659</v>
      </c>
      <c r="P4" s="2" t="s">
        <v>660</v>
      </c>
      <c r="Q4" s="2" t="s">
        <v>661</v>
      </c>
      <c r="R4" s="2" t="s">
        <v>662</v>
      </c>
      <c r="S4" s="2" t="s">
        <v>663</v>
      </c>
      <c r="T4" s="2"/>
      <c r="U4" s="2"/>
      <c r="V4" s="2"/>
      <c r="W4" s="2"/>
      <c r="X4" s="2"/>
    </row>
    <row r="5" spans="1:24" x14ac:dyDescent="0.4">
      <c r="A5" s="1">
        <v>23</v>
      </c>
      <c r="B5" s="1" t="s">
        <v>28</v>
      </c>
      <c r="C5" s="2" t="s">
        <v>649</v>
      </c>
      <c r="D5" s="2" t="s">
        <v>664</v>
      </c>
      <c r="E5" s="2" t="s">
        <v>656</v>
      </c>
      <c r="F5" s="2" t="s">
        <v>657</v>
      </c>
      <c r="G5" s="2" t="s">
        <v>665</v>
      </c>
      <c r="H5" s="2" t="s">
        <v>666</v>
      </c>
      <c r="I5" s="2"/>
      <c r="J5" s="2"/>
      <c r="K5" s="2"/>
      <c r="L5" s="2"/>
      <c r="M5" s="2"/>
      <c r="N5" s="2"/>
      <c r="O5" s="2"/>
      <c r="P5" s="2"/>
      <c r="Q5" s="2"/>
      <c r="R5" s="2"/>
      <c r="S5" s="2"/>
      <c r="T5" s="2"/>
      <c r="U5" s="2"/>
      <c r="V5" s="2"/>
      <c r="W5" s="2"/>
      <c r="X5" s="2"/>
    </row>
    <row r="6" spans="1:24" x14ac:dyDescent="0.4">
      <c r="A6" s="1">
        <v>25</v>
      </c>
      <c r="B6" s="1" t="s">
        <v>30</v>
      </c>
      <c r="C6" s="2" t="s">
        <v>666</v>
      </c>
      <c r="D6" s="2" t="s">
        <v>652</v>
      </c>
      <c r="E6" s="2" t="s">
        <v>642</v>
      </c>
      <c r="F6" s="2"/>
      <c r="G6" s="2"/>
      <c r="H6" s="2"/>
      <c r="I6" s="2"/>
      <c r="J6" s="2"/>
      <c r="K6" s="2"/>
      <c r="L6" s="2"/>
      <c r="M6" s="2"/>
      <c r="N6" s="2"/>
      <c r="O6" s="2"/>
      <c r="P6" s="2"/>
      <c r="Q6" s="2"/>
      <c r="R6" s="2"/>
      <c r="S6" s="2"/>
      <c r="T6" s="2"/>
      <c r="U6" s="2"/>
      <c r="V6" s="2"/>
      <c r="W6" s="2"/>
      <c r="X6" s="2"/>
    </row>
    <row r="7" spans="1:24" x14ac:dyDescent="0.4">
      <c r="A7" s="1">
        <v>30</v>
      </c>
      <c r="B7" s="1" t="s">
        <v>36</v>
      </c>
      <c r="C7" s="2" t="s">
        <v>649</v>
      </c>
      <c r="D7" s="2" t="s">
        <v>645</v>
      </c>
      <c r="E7" s="2" t="s">
        <v>667</v>
      </c>
      <c r="F7" s="2" t="s">
        <v>651</v>
      </c>
      <c r="G7" s="2" t="s">
        <v>642</v>
      </c>
      <c r="H7" s="2" t="s">
        <v>668</v>
      </c>
      <c r="I7" s="2" t="s">
        <v>669</v>
      </c>
      <c r="J7" s="2" t="s">
        <v>670</v>
      </c>
      <c r="K7" s="2"/>
      <c r="L7" s="2"/>
      <c r="M7" s="2"/>
      <c r="N7" s="2"/>
      <c r="O7" s="2"/>
      <c r="P7" s="2"/>
      <c r="Q7" s="2"/>
      <c r="R7" s="2"/>
      <c r="S7" s="2"/>
      <c r="T7" s="2"/>
      <c r="U7" s="2"/>
      <c r="V7" s="2"/>
      <c r="W7" s="2"/>
      <c r="X7" s="2"/>
    </row>
    <row r="8" spans="1:24" x14ac:dyDescent="0.4">
      <c r="A8" s="1">
        <v>31</v>
      </c>
      <c r="B8" s="1" t="s">
        <v>41</v>
      </c>
      <c r="C8" s="2" t="s">
        <v>642</v>
      </c>
      <c r="D8" s="2" t="s">
        <v>641</v>
      </c>
      <c r="E8" s="2" t="s">
        <v>649</v>
      </c>
      <c r="F8" s="2" t="s">
        <v>666</v>
      </c>
      <c r="G8" s="2" t="s">
        <v>671</v>
      </c>
      <c r="H8" s="2" t="s">
        <v>672</v>
      </c>
      <c r="I8" s="2" t="s">
        <v>654</v>
      </c>
      <c r="J8" s="2" t="s">
        <v>660</v>
      </c>
      <c r="K8" s="2" t="s">
        <v>673</v>
      </c>
      <c r="L8" s="2" t="s">
        <v>674</v>
      </c>
      <c r="M8" s="2" t="s">
        <v>675</v>
      </c>
      <c r="N8" s="2" t="s">
        <v>676</v>
      </c>
      <c r="O8" s="2" t="s">
        <v>677</v>
      </c>
      <c r="P8" s="2" t="s">
        <v>678</v>
      </c>
      <c r="Q8" s="2" t="s">
        <v>679</v>
      </c>
      <c r="R8" s="2" t="s">
        <v>680</v>
      </c>
      <c r="S8" s="2" t="s">
        <v>661</v>
      </c>
      <c r="T8" s="2" t="s">
        <v>662</v>
      </c>
      <c r="U8" s="2" t="s">
        <v>681</v>
      </c>
      <c r="V8" s="2" t="s">
        <v>682</v>
      </c>
      <c r="W8" s="2" t="s">
        <v>683</v>
      </c>
      <c r="X8" s="2" t="s">
        <v>684</v>
      </c>
    </row>
    <row r="9" spans="1:24" x14ac:dyDescent="0.4">
      <c r="A9" s="1">
        <v>33</v>
      </c>
      <c r="B9" s="1" t="s">
        <v>43</v>
      </c>
      <c r="C9" s="2" t="s">
        <v>685</v>
      </c>
      <c r="D9" s="2" t="s">
        <v>651</v>
      </c>
      <c r="E9" s="2" t="s">
        <v>642</v>
      </c>
      <c r="F9" s="2" t="s">
        <v>686</v>
      </c>
      <c r="G9" s="2" t="s">
        <v>687</v>
      </c>
      <c r="H9" s="2" t="s">
        <v>688</v>
      </c>
      <c r="I9" s="2" t="s">
        <v>669</v>
      </c>
      <c r="J9" s="2" t="s">
        <v>689</v>
      </c>
      <c r="K9" s="2" t="s">
        <v>690</v>
      </c>
      <c r="L9" s="2"/>
      <c r="M9" s="2"/>
      <c r="N9" s="2"/>
      <c r="O9" s="2"/>
      <c r="P9" s="2"/>
      <c r="Q9" s="2"/>
      <c r="R9" s="2"/>
      <c r="S9" s="2"/>
      <c r="T9" s="2"/>
      <c r="U9" s="2"/>
      <c r="V9" s="2"/>
      <c r="W9" s="2"/>
      <c r="X9" s="2"/>
    </row>
    <row r="10" spans="1:24" x14ac:dyDescent="0.4">
      <c r="A10" s="1">
        <v>35</v>
      </c>
      <c r="B10" s="1" t="s">
        <v>44</v>
      </c>
      <c r="C10" s="2" t="s">
        <v>649</v>
      </c>
      <c r="D10" s="2" t="s">
        <v>691</v>
      </c>
      <c r="E10" s="2" t="s">
        <v>658</v>
      </c>
      <c r="F10" s="2" t="s">
        <v>659</v>
      </c>
      <c r="G10" s="2" t="s">
        <v>692</v>
      </c>
      <c r="H10" s="2"/>
      <c r="I10" s="2"/>
      <c r="J10" s="2"/>
      <c r="K10" s="2"/>
      <c r="L10" s="2"/>
      <c r="M10" s="2"/>
      <c r="N10" s="2"/>
      <c r="O10" s="2"/>
      <c r="P10" s="2"/>
      <c r="Q10" s="2"/>
      <c r="R10" s="2"/>
      <c r="S10" s="2"/>
      <c r="T10" s="2"/>
      <c r="U10" s="2"/>
      <c r="V10" s="2"/>
      <c r="W10" s="2"/>
      <c r="X10" s="2"/>
    </row>
    <row r="11" spans="1:24" x14ac:dyDescent="0.4">
      <c r="A11" s="1">
        <v>41</v>
      </c>
      <c r="B11" s="1" t="s">
        <v>47</v>
      </c>
      <c r="C11" s="2" t="s">
        <v>649</v>
      </c>
      <c r="D11" s="2" t="s">
        <v>645</v>
      </c>
      <c r="E11" s="2" t="s">
        <v>667</v>
      </c>
      <c r="F11" s="2" t="s">
        <v>652</v>
      </c>
      <c r="G11" s="2" t="s">
        <v>658</v>
      </c>
      <c r="H11" s="2" t="s">
        <v>681</v>
      </c>
      <c r="I11" s="2" t="s">
        <v>672</v>
      </c>
      <c r="J11" s="2" t="s">
        <v>642</v>
      </c>
      <c r="K11" s="2" t="s">
        <v>693</v>
      </c>
      <c r="L11" s="2" t="s">
        <v>675</v>
      </c>
      <c r="M11" s="2" t="s">
        <v>653</v>
      </c>
      <c r="N11" s="2" t="s">
        <v>694</v>
      </c>
      <c r="O11" s="2" t="s">
        <v>654</v>
      </c>
      <c r="P11" s="2" t="s">
        <v>695</v>
      </c>
      <c r="Q11" s="2" t="s">
        <v>685</v>
      </c>
      <c r="R11" s="2"/>
      <c r="S11" s="2"/>
      <c r="T11" s="2"/>
      <c r="U11" s="2"/>
      <c r="V11" s="2"/>
      <c r="W11" s="2"/>
      <c r="X11" s="2"/>
    </row>
    <row r="12" spans="1:24" x14ac:dyDescent="0.4">
      <c r="A12" s="1">
        <v>42</v>
      </c>
      <c r="B12" s="1" t="s">
        <v>50</v>
      </c>
      <c r="C12" s="2" t="s">
        <v>649</v>
      </c>
      <c r="D12" s="2" t="s">
        <v>645</v>
      </c>
      <c r="E12" s="2" t="s">
        <v>642</v>
      </c>
      <c r="F12" s="2" t="s">
        <v>696</v>
      </c>
      <c r="G12" s="2" t="s">
        <v>666</v>
      </c>
      <c r="H12" s="2" t="s">
        <v>653</v>
      </c>
      <c r="I12" s="2" t="s">
        <v>659</v>
      </c>
      <c r="J12" s="2" t="s">
        <v>697</v>
      </c>
      <c r="K12" s="2" t="s">
        <v>655</v>
      </c>
      <c r="L12" s="2" t="s">
        <v>651</v>
      </c>
      <c r="M12" s="2" t="s">
        <v>698</v>
      </c>
      <c r="N12" s="2" t="s">
        <v>699</v>
      </c>
      <c r="O12" s="2" t="s">
        <v>654</v>
      </c>
      <c r="P12" s="2" t="s">
        <v>657</v>
      </c>
      <c r="Q12" s="2" t="s">
        <v>671</v>
      </c>
      <c r="R12" s="2" t="s">
        <v>675</v>
      </c>
      <c r="S12" s="2"/>
      <c r="T12" s="2"/>
      <c r="U12" s="2"/>
      <c r="V12" s="2"/>
      <c r="W12" s="2"/>
      <c r="X12" s="2"/>
    </row>
    <row r="13" spans="1:24" x14ac:dyDescent="0.4">
      <c r="A13" s="1">
        <v>43</v>
      </c>
      <c r="B13" s="1" t="s">
        <v>51</v>
      </c>
      <c r="C13" s="2" t="s">
        <v>649</v>
      </c>
      <c r="D13" s="2" t="s">
        <v>641</v>
      </c>
      <c r="E13" s="2" t="s">
        <v>681</v>
      </c>
      <c r="F13" s="2" t="s">
        <v>700</v>
      </c>
      <c r="G13" s="2" t="s">
        <v>701</v>
      </c>
      <c r="H13" s="2"/>
      <c r="I13" s="2"/>
      <c r="J13" s="2"/>
      <c r="K13" s="2"/>
      <c r="L13" s="2"/>
      <c r="M13" s="2"/>
      <c r="N13" s="2"/>
      <c r="O13" s="2"/>
      <c r="P13" s="2"/>
      <c r="Q13" s="2"/>
      <c r="R13" s="2"/>
      <c r="S13" s="2"/>
      <c r="T13" s="2"/>
      <c r="U13" s="2"/>
      <c r="V13" s="2"/>
      <c r="W13" s="2"/>
      <c r="X13" s="2"/>
    </row>
    <row r="14" spans="1:24" x14ac:dyDescent="0.4">
      <c r="A14" s="1">
        <v>46</v>
      </c>
      <c r="B14" s="1" t="s">
        <v>53</v>
      </c>
      <c r="C14" s="2" t="s">
        <v>702</v>
      </c>
      <c r="D14" s="2" t="s">
        <v>703</v>
      </c>
      <c r="E14" s="2"/>
      <c r="F14" s="2"/>
      <c r="G14" s="2"/>
      <c r="H14" s="2"/>
      <c r="I14" s="2"/>
      <c r="J14" s="2"/>
      <c r="K14" s="2"/>
      <c r="L14" s="2"/>
      <c r="M14" s="2"/>
      <c r="N14" s="2"/>
      <c r="O14" s="2"/>
      <c r="P14" s="2"/>
      <c r="Q14" s="2"/>
      <c r="R14" s="2"/>
      <c r="S14" s="2"/>
      <c r="T14" s="2"/>
      <c r="U14" s="2"/>
      <c r="V14" s="2"/>
      <c r="W14" s="2"/>
      <c r="X14" s="2"/>
    </row>
    <row r="15" spans="1:24" x14ac:dyDescent="0.4">
      <c r="A15" s="1">
        <v>47</v>
      </c>
      <c r="B15" s="1" t="s">
        <v>54</v>
      </c>
      <c r="C15" s="2" t="s">
        <v>642</v>
      </c>
      <c r="D15" s="2" t="s">
        <v>704</v>
      </c>
      <c r="E15" s="2" t="s">
        <v>678</v>
      </c>
      <c r="F15" s="2" t="s">
        <v>652</v>
      </c>
      <c r="G15" s="2" t="s">
        <v>675</v>
      </c>
      <c r="H15" s="2" t="s">
        <v>705</v>
      </c>
      <c r="I15" s="2" t="s">
        <v>706</v>
      </c>
      <c r="J15" s="2" t="s">
        <v>707</v>
      </c>
      <c r="K15" s="2"/>
      <c r="L15" s="2"/>
      <c r="M15" s="2"/>
      <c r="N15" s="2"/>
      <c r="O15" s="2"/>
      <c r="P15" s="2"/>
      <c r="Q15" s="2"/>
      <c r="R15" s="2"/>
      <c r="S15" s="2"/>
      <c r="T15" s="2"/>
      <c r="U15" s="2"/>
      <c r="V15" s="2"/>
      <c r="W15" s="2"/>
      <c r="X15" s="2"/>
    </row>
    <row r="16" spans="1:24" x14ac:dyDescent="0.4">
      <c r="A16" s="1">
        <v>48</v>
      </c>
      <c r="B16" s="1" t="s">
        <v>57</v>
      </c>
      <c r="C16" s="2" t="s">
        <v>649</v>
      </c>
      <c r="D16" s="2" t="s">
        <v>685</v>
      </c>
      <c r="E16" s="2" t="s">
        <v>708</v>
      </c>
      <c r="F16" s="2"/>
      <c r="G16" s="2"/>
      <c r="H16" s="2"/>
      <c r="I16" s="2"/>
      <c r="J16" s="2"/>
      <c r="K16" s="2"/>
      <c r="L16" s="2"/>
      <c r="M16" s="2"/>
      <c r="N16" s="2"/>
      <c r="O16" s="2"/>
      <c r="P16" s="2"/>
      <c r="Q16" s="2"/>
      <c r="R16" s="2"/>
      <c r="S16" s="2"/>
      <c r="T16" s="2"/>
      <c r="U16" s="2"/>
      <c r="V16" s="2"/>
      <c r="W16" s="2"/>
      <c r="X16" s="2"/>
    </row>
    <row r="17" spans="1:24" x14ac:dyDescent="0.4">
      <c r="A17" s="1">
        <v>49</v>
      </c>
      <c r="B17" s="1" t="s">
        <v>61</v>
      </c>
      <c r="C17" s="2" t="s">
        <v>685</v>
      </c>
      <c r="D17" s="2" t="s">
        <v>649</v>
      </c>
      <c r="E17" s="2" t="s">
        <v>709</v>
      </c>
      <c r="F17" s="2" t="s">
        <v>710</v>
      </c>
      <c r="G17" s="2" t="s">
        <v>678</v>
      </c>
      <c r="H17" s="2" t="s">
        <v>711</v>
      </c>
      <c r="I17" s="2" t="s">
        <v>712</v>
      </c>
      <c r="J17" s="2"/>
      <c r="K17" s="2"/>
      <c r="L17" s="2"/>
      <c r="M17" s="2"/>
      <c r="N17" s="2"/>
      <c r="O17" s="2"/>
      <c r="P17" s="2"/>
      <c r="Q17" s="2"/>
      <c r="R17" s="2"/>
      <c r="S17" s="2"/>
      <c r="T17" s="2"/>
      <c r="U17" s="2"/>
      <c r="V17" s="2"/>
      <c r="W17" s="2"/>
      <c r="X17" s="2"/>
    </row>
    <row r="18" spans="1:24" x14ac:dyDescent="0.4">
      <c r="A18" s="1">
        <v>61</v>
      </c>
      <c r="B18" s="1" t="s">
        <v>64</v>
      </c>
      <c r="C18" s="2" t="s">
        <v>685</v>
      </c>
      <c r="D18" s="2" t="s">
        <v>713</v>
      </c>
      <c r="E18" s="2"/>
      <c r="F18" s="2"/>
      <c r="G18" s="2"/>
      <c r="H18" s="2"/>
      <c r="I18" s="2"/>
      <c r="J18" s="2"/>
      <c r="K18" s="2"/>
      <c r="L18" s="2"/>
      <c r="M18" s="2"/>
      <c r="N18" s="2"/>
      <c r="O18" s="2"/>
      <c r="P18" s="2"/>
      <c r="Q18" s="2"/>
      <c r="R18" s="2"/>
      <c r="S18" s="2"/>
      <c r="T18" s="2"/>
      <c r="U18" s="2"/>
      <c r="V18" s="2"/>
      <c r="W18" s="2"/>
      <c r="X18" s="2"/>
    </row>
    <row r="19" spans="1:24" x14ac:dyDescent="0.4">
      <c r="A19" s="1">
        <v>73</v>
      </c>
      <c r="B19" s="1" t="s">
        <v>67</v>
      </c>
      <c r="C19" s="2" t="s">
        <v>714</v>
      </c>
      <c r="D19" s="2" t="s">
        <v>645</v>
      </c>
      <c r="E19" s="2"/>
      <c r="F19" s="2"/>
      <c r="G19" s="2"/>
      <c r="H19" s="2"/>
      <c r="I19" s="2"/>
      <c r="J19" s="2"/>
      <c r="K19" s="2"/>
      <c r="L19" s="2"/>
      <c r="M19" s="2"/>
      <c r="N19" s="2"/>
      <c r="O19" s="2"/>
      <c r="P19" s="2"/>
      <c r="Q19" s="2"/>
      <c r="R19" s="2"/>
      <c r="S19" s="2"/>
      <c r="T19" s="2"/>
      <c r="U19" s="2"/>
      <c r="V19" s="2"/>
      <c r="W19" s="2"/>
      <c r="X19" s="2"/>
    </row>
    <row r="20" spans="1:24" x14ac:dyDescent="0.4">
      <c r="A20" s="1">
        <v>84</v>
      </c>
      <c r="B20" s="1" t="s">
        <v>70</v>
      </c>
      <c r="C20" s="2" t="s">
        <v>715</v>
      </c>
      <c r="D20" s="2" t="s">
        <v>649</v>
      </c>
      <c r="E20" s="2"/>
      <c r="F20" s="2"/>
      <c r="G20" s="2"/>
      <c r="H20" s="2"/>
      <c r="I20" s="2"/>
      <c r="J20" s="2"/>
      <c r="K20" s="2"/>
      <c r="L20" s="2"/>
      <c r="M20" s="2"/>
      <c r="N20" s="2"/>
      <c r="O20" s="2"/>
      <c r="P20" s="2"/>
      <c r="Q20" s="2"/>
      <c r="R20" s="2"/>
      <c r="S20" s="2"/>
      <c r="T20" s="2"/>
      <c r="U20" s="2"/>
      <c r="V20" s="2"/>
      <c r="W20" s="2"/>
      <c r="X20" s="2"/>
    </row>
    <row r="21" spans="1:24" x14ac:dyDescent="0.4">
      <c r="A21" s="1">
        <v>85</v>
      </c>
      <c r="B21" s="1" t="s">
        <v>73</v>
      </c>
      <c r="C21" s="2" t="s">
        <v>703</v>
      </c>
      <c r="D21" s="2" t="s">
        <v>716</v>
      </c>
      <c r="E21" s="2" t="s">
        <v>706</v>
      </c>
      <c r="F21" s="2" t="s">
        <v>649</v>
      </c>
      <c r="G21" s="2" t="s">
        <v>717</v>
      </c>
      <c r="H21" s="2" t="s">
        <v>718</v>
      </c>
      <c r="I21" s="2" t="s">
        <v>719</v>
      </c>
      <c r="J21" s="2" t="s">
        <v>720</v>
      </c>
      <c r="K21" s="2" t="s">
        <v>721</v>
      </c>
      <c r="L21" s="2" t="s">
        <v>646</v>
      </c>
      <c r="M21" s="2"/>
      <c r="N21" s="2"/>
      <c r="O21" s="2"/>
      <c r="P21" s="2"/>
      <c r="Q21" s="2"/>
      <c r="R21" s="2"/>
      <c r="S21" s="2"/>
      <c r="T21" s="2"/>
      <c r="U21" s="2"/>
      <c r="V21" s="2"/>
      <c r="W21" s="2"/>
      <c r="X21" s="2"/>
    </row>
    <row r="22" spans="1:24" x14ac:dyDescent="0.4">
      <c r="A22" s="1">
        <v>87</v>
      </c>
      <c r="B22" s="1" t="s">
        <v>75</v>
      </c>
      <c r="C22" s="2" t="s">
        <v>652</v>
      </c>
      <c r="D22" s="2" t="s">
        <v>666</v>
      </c>
      <c r="E22" s="2" t="s">
        <v>722</v>
      </c>
      <c r="F22" s="2"/>
      <c r="G22" s="2"/>
      <c r="H22" s="2"/>
      <c r="I22" s="2"/>
      <c r="J22" s="2"/>
      <c r="K22" s="2"/>
      <c r="L22" s="2"/>
      <c r="M22" s="2"/>
      <c r="N22" s="2"/>
      <c r="O22" s="2"/>
      <c r="P22" s="2"/>
      <c r="Q22" s="2"/>
      <c r="R22" s="2"/>
      <c r="S22" s="2"/>
      <c r="T22" s="2"/>
      <c r="U22" s="2"/>
      <c r="V22" s="2"/>
      <c r="W22" s="2"/>
      <c r="X22" s="2"/>
    </row>
    <row r="23" spans="1:24" x14ac:dyDescent="0.4">
      <c r="A23" s="1">
        <v>88</v>
      </c>
      <c r="B23" s="1" t="s">
        <v>78</v>
      </c>
      <c r="C23" s="2" t="s">
        <v>685</v>
      </c>
      <c r="D23" s="2" t="s">
        <v>723</v>
      </c>
      <c r="E23" s="2" t="s">
        <v>669</v>
      </c>
      <c r="F23" s="2" t="s">
        <v>724</v>
      </c>
      <c r="G23" s="2" t="s">
        <v>725</v>
      </c>
      <c r="H23" s="2" t="s">
        <v>726</v>
      </c>
      <c r="I23" s="2" t="s">
        <v>727</v>
      </c>
      <c r="J23" s="2" t="s">
        <v>728</v>
      </c>
      <c r="K23" s="2" t="s">
        <v>729</v>
      </c>
      <c r="L23" s="2" t="s">
        <v>730</v>
      </c>
      <c r="M23" s="2" t="s">
        <v>731</v>
      </c>
      <c r="N23" s="2" t="s">
        <v>732</v>
      </c>
      <c r="O23" s="2" t="s">
        <v>733</v>
      </c>
      <c r="P23" s="2" t="s">
        <v>734</v>
      </c>
      <c r="Q23" s="2" t="s">
        <v>735</v>
      </c>
      <c r="R23" s="2"/>
      <c r="S23" s="2"/>
      <c r="T23" s="2"/>
      <c r="U23" s="2"/>
      <c r="V23" s="2"/>
      <c r="W23" s="2"/>
      <c r="X23" s="2"/>
    </row>
    <row r="24" spans="1:24" x14ac:dyDescent="0.4">
      <c r="A24" s="1">
        <v>89</v>
      </c>
      <c r="B24" s="1" t="s">
        <v>80</v>
      </c>
      <c r="C24" s="2" t="s">
        <v>736</v>
      </c>
      <c r="D24" s="2" t="s">
        <v>700</v>
      </c>
      <c r="E24" s="2" t="s">
        <v>642</v>
      </c>
      <c r="F24" s="2" t="s">
        <v>737</v>
      </c>
      <c r="G24" s="2"/>
      <c r="H24" s="2"/>
      <c r="I24" s="2"/>
      <c r="J24" s="2"/>
      <c r="K24" s="2"/>
      <c r="L24" s="2"/>
      <c r="M24" s="2"/>
      <c r="N24" s="2"/>
      <c r="O24" s="2"/>
      <c r="P24" s="2"/>
      <c r="Q24" s="2"/>
      <c r="R24" s="2"/>
      <c r="S24" s="2"/>
      <c r="T24" s="2"/>
      <c r="U24" s="2"/>
      <c r="V24" s="2"/>
      <c r="W24" s="2"/>
      <c r="X24" s="2"/>
    </row>
    <row r="25" spans="1:24" x14ac:dyDescent="0.4">
      <c r="A25" s="1">
        <v>94</v>
      </c>
      <c r="B25" s="1" t="s">
        <v>81</v>
      </c>
      <c r="C25" s="2" t="s">
        <v>738</v>
      </c>
      <c r="D25" s="2" t="s">
        <v>735</v>
      </c>
      <c r="E25" s="2" t="s">
        <v>739</v>
      </c>
      <c r="F25" s="2"/>
      <c r="G25" s="2"/>
      <c r="H25" s="2"/>
      <c r="I25" s="2"/>
      <c r="J25" s="2"/>
      <c r="K25" s="2"/>
      <c r="L25" s="2"/>
      <c r="M25" s="2"/>
      <c r="N25" s="2"/>
      <c r="O25" s="2"/>
      <c r="P25" s="2"/>
      <c r="Q25" s="2"/>
      <c r="R25" s="2"/>
      <c r="S25" s="2"/>
      <c r="T25" s="2"/>
      <c r="U25" s="2"/>
      <c r="V25" s="2"/>
      <c r="W25" s="2"/>
      <c r="X25" s="2"/>
    </row>
    <row r="26" spans="1:24" x14ac:dyDescent="0.4">
      <c r="A26" s="1">
        <v>97</v>
      </c>
      <c r="B26" s="1" t="s">
        <v>83</v>
      </c>
      <c r="C26" s="2" t="s">
        <v>740</v>
      </c>
      <c r="D26" s="2"/>
      <c r="E26" s="2"/>
      <c r="F26" s="2"/>
      <c r="G26" s="2"/>
      <c r="H26" s="2"/>
      <c r="I26" s="2"/>
      <c r="J26" s="2"/>
      <c r="K26" s="2"/>
      <c r="L26" s="2"/>
      <c r="M26" s="2"/>
      <c r="N26" s="2"/>
      <c r="O26" s="2"/>
      <c r="P26" s="2"/>
      <c r="Q26" s="2"/>
      <c r="R26" s="2"/>
      <c r="S26" s="2"/>
      <c r="T26" s="2"/>
      <c r="U26" s="2"/>
      <c r="V26" s="2"/>
      <c r="W26" s="2"/>
      <c r="X26" s="2"/>
    </row>
    <row r="27" spans="1:24" x14ac:dyDescent="0.4">
      <c r="A27" s="1">
        <v>99</v>
      </c>
      <c r="B27" s="1" t="s">
        <v>87</v>
      </c>
      <c r="C27" s="2" t="s">
        <v>642</v>
      </c>
      <c r="D27" s="2" t="s">
        <v>681</v>
      </c>
      <c r="E27" s="2" t="s">
        <v>645</v>
      </c>
      <c r="F27" s="2" t="s">
        <v>667</v>
      </c>
      <c r="G27" s="2" t="s">
        <v>664</v>
      </c>
      <c r="H27" s="2" t="s">
        <v>688</v>
      </c>
      <c r="I27" s="2"/>
      <c r="J27" s="2"/>
      <c r="K27" s="2"/>
      <c r="L27" s="2"/>
      <c r="M27" s="2"/>
      <c r="N27" s="2"/>
      <c r="O27" s="2"/>
      <c r="P27" s="2"/>
      <c r="Q27" s="2"/>
      <c r="R27" s="2"/>
      <c r="S27" s="2"/>
      <c r="T27" s="2"/>
      <c r="U27" s="2"/>
      <c r="V27" s="2"/>
      <c r="W27" s="2"/>
      <c r="X27" s="2"/>
    </row>
    <row r="28" spans="1:24" x14ac:dyDescent="0.4">
      <c r="A28" s="1">
        <v>100</v>
      </c>
      <c r="B28" s="1" t="s">
        <v>89</v>
      </c>
      <c r="C28" s="2" t="s">
        <v>741</v>
      </c>
      <c r="D28" s="2" t="s">
        <v>742</v>
      </c>
      <c r="E28" s="2" t="s">
        <v>703</v>
      </c>
      <c r="F28" s="2" t="s">
        <v>666</v>
      </c>
      <c r="G28" s="2"/>
      <c r="H28" s="2"/>
      <c r="I28" s="2"/>
      <c r="J28" s="2"/>
      <c r="K28" s="2"/>
      <c r="L28" s="2"/>
      <c r="M28" s="2"/>
      <c r="N28" s="2"/>
      <c r="O28" s="2"/>
      <c r="P28" s="2"/>
      <c r="Q28" s="2"/>
      <c r="R28" s="2"/>
      <c r="S28" s="2"/>
      <c r="T28" s="2"/>
      <c r="U28" s="2"/>
      <c r="V28" s="2"/>
      <c r="W28" s="2"/>
      <c r="X28" s="2"/>
    </row>
    <row r="29" spans="1:24" x14ac:dyDescent="0.4">
      <c r="A29" s="1">
        <v>103</v>
      </c>
      <c r="B29" s="1" t="s">
        <v>93</v>
      </c>
      <c r="C29" s="2" t="s">
        <v>654</v>
      </c>
      <c r="D29" s="2" t="s">
        <v>651</v>
      </c>
      <c r="E29" s="2" t="s">
        <v>666</v>
      </c>
      <c r="F29" s="2" t="s">
        <v>703</v>
      </c>
      <c r="G29" s="2" t="s">
        <v>693</v>
      </c>
      <c r="H29" s="2" t="s">
        <v>645</v>
      </c>
      <c r="I29" s="2" t="s">
        <v>667</v>
      </c>
      <c r="J29" s="2" t="s">
        <v>668</v>
      </c>
      <c r="K29" s="2"/>
      <c r="L29" s="2"/>
      <c r="M29" s="2"/>
      <c r="N29" s="2"/>
      <c r="O29" s="2"/>
      <c r="P29" s="2"/>
      <c r="Q29" s="2"/>
      <c r="R29" s="2"/>
      <c r="S29" s="2"/>
      <c r="T29" s="2"/>
      <c r="U29" s="2"/>
      <c r="V29" s="2"/>
      <c r="W29" s="2"/>
      <c r="X29" s="2"/>
    </row>
    <row r="30" spans="1:24" x14ac:dyDescent="0.4">
      <c r="A30" s="1">
        <v>111</v>
      </c>
      <c r="B30" s="1" t="s">
        <v>95</v>
      </c>
      <c r="C30" s="2" t="s">
        <v>743</v>
      </c>
      <c r="D30" s="2" t="s">
        <v>735</v>
      </c>
      <c r="E30" s="2"/>
      <c r="F30" s="2"/>
      <c r="G30" s="2"/>
      <c r="H30" s="2"/>
      <c r="I30" s="2"/>
      <c r="J30" s="2"/>
      <c r="K30" s="2"/>
      <c r="L30" s="2"/>
      <c r="M30" s="2"/>
      <c r="N30" s="2"/>
      <c r="O30" s="2"/>
      <c r="P30" s="2"/>
      <c r="Q30" s="2"/>
      <c r="R30" s="2"/>
      <c r="S30" s="2"/>
      <c r="T30" s="2"/>
      <c r="U30" s="2"/>
      <c r="V30" s="2"/>
      <c r="W30" s="2"/>
      <c r="X30" s="2"/>
    </row>
    <row r="31" spans="1:24" x14ac:dyDescent="0.4">
      <c r="A31" s="1">
        <v>112</v>
      </c>
      <c r="B31" s="1" t="s">
        <v>97</v>
      </c>
      <c r="C31" s="2" t="s">
        <v>713</v>
      </c>
      <c r="D31" s="2" t="s">
        <v>703</v>
      </c>
      <c r="E31" s="2"/>
      <c r="F31" s="2"/>
      <c r="G31" s="2"/>
      <c r="H31" s="2"/>
      <c r="I31" s="2"/>
      <c r="J31" s="2"/>
      <c r="K31" s="2"/>
      <c r="L31" s="2"/>
      <c r="M31" s="2"/>
      <c r="N31" s="2"/>
      <c r="O31" s="2"/>
      <c r="P31" s="2"/>
      <c r="Q31" s="2"/>
      <c r="R31" s="2"/>
      <c r="S31" s="2"/>
      <c r="T31" s="2"/>
      <c r="U31" s="2"/>
      <c r="V31" s="2"/>
      <c r="W31" s="2"/>
      <c r="X31" s="2"/>
    </row>
    <row r="32" spans="1:24" x14ac:dyDescent="0.4">
      <c r="A32" s="1">
        <v>121</v>
      </c>
      <c r="B32" s="1" t="s">
        <v>99</v>
      </c>
      <c r="C32" s="2" t="s">
        <v>666</v>
      </c>
      <c r="D32" s="2" t="s">
        <v>642</v>
      </c>
      <c r="E32" s="2"/>
      <c r="F32" s="2"/>
      <c r="G32" s="2"/>
      <c r="H32" s="2"/>
      <c r="I32" s="2"/>
      <c r="J32" s="2"/>
      <c r="K32" s="2"/>
      <c r="L32" s="2"/>
      <c r="M32" s="2"/>
      <c r="N32" s="2"/>
      <c r="O32" s="2"/>
      <c r="P32" s="2"/>
      <c r="Q32" s="2"/>
      <c r="R32" s="2"/>
      <c r="S32" s="2"/>
      <c r="T32" s="2"/>
      <c r="U32" s="2"/>
      <c r="V32" s="2"/>
      <c r="W32" s="2"/>
      <c r="X32" s="2"/>
    </row>
    <row r="33" spans="1:24" x14ac:dyDescent="0.4">
      <c r="A33" s="1">
        <v>122</v>
      </c>
      <c r="B33" s="1" t="s">
        <v>101</v>
      </c>
      <c r="C33" s="2" t="s">
        <v>657</v>
      </c>
      <c r="D33" s="2" t="s">
        <v>649</v>
      </c>
      <c r="E33" s="2" t="s">
        <v>642</v>
      </c>
      <c r="F33" s="2" t="s">
        <v>648</v>
      </c>
      <c r="G33" s="2" t="s">
        <v>744</v>
      </c>
      <c r="H33" s="2" t="s">
        <v>745</v>
      </c>
      <c r="I33" s="2" t="s">
        <v>669</v>
      </c>
      <c r="J33" s="2"/>
      <c r="K33" s="2"/>
      <c r="L33" s="2"/>
      <c r="M33" s="2"/>
      <c r="N33" s="2"/>
      <c r="O33" s="2"/>
      <c r="P33" s="2"/>
      <c r="Q33" s="2"/>
      <c r="R33" s="2"/>
      <c r="S33" s="2"/>
      <c r="T33" s="2"/>
      <c r="U33" s="2"/>
      <c r="V33" s="2"/>
      <c r="W33" s="2"/>
      <c r="X33" s="2"/>
    </row>
    <row r="34" spans="1:24" x14ac:dyDescent="0.4">
      <c r="A34" s="1">
        <v>124</v>
      </c>
      <c r="B34" s="1" t="s">
        <v>103</v>
      </c>
      <c r="C34" s="2" t="s">
        <v>666</v>
      </c>
      <c r="D34" s="2" t="s">
        <v>706</v>
      </c>
      <c r="E34" s="2" t="s">
        <v>649</v>
      </c>
      <c r="F34" s="2" t="s">
        <v>642</v>
      </c>
      <c r="G34" s="2" t="s">
        <v>746</v>
      </c>
      <c r="H34" s="2" t="s">
        <v>641</v>
      </c>
      <c r="I34" s="2" t="s">
        <v>717</v>
      </c>
      <c r="J34" s="2"/>
      <c r="K34" s="2"/>
      <c r="L34" s="2"/>
      <c r="M34" s="2"/>
      <c r="N34" s="2"/>
      <c r="O34" s="2"/>
      <c r="P34" s="2"/>
      <c r="Q34" s="2"/>
      <c r="R34" s="2"/>
      <c r="S34" s="2"/>
      <c r="T34" s="2"/>
      <c r="U34" s="2"/>
      <c r="V34" s="2"/>
      <c r="W34" s="2"/>
      <c r="X34" s="2"/>
    </row>
    <row r="35" spans="1:24" x14ac:dyDescent="0.4">
      <c r="A35" s="1">
        <v>127</v>
      </c>
      <c r="B35" s="1" t="s">
        <v>104</v>
      </c>
      <c r="C35" s="2" t="s">
        <v>641</v>
      </c>
      <c r="D35" s="2" t="s">
        <v>642</v>
      </c>
      <c r="E35" s="2" t="s">
        <v>747</v>
      </c>
      <c r="F35" s="2" t="s">
        <v>748</v>
      </c>
      <c r="G35" s="2" t="s">
        <v>749</v>
      </c>
      <c r="H35" s="2"/>
      <c r="I35" s="2"/>
      <c r="J35" s="2"/>
      <c r="K35" s="2"/>
      <c r="L35" s="2"/>
      <c r="M35" s="2"/>
      <c r="N35" s="2"/>
      <c r="O35" s="2"/>
      <c r="P35" s="2"/>
      <c r="Q35" s="2"/>
      <c r="R35" s="2"/>
      <c r="S35" s="2"/>
      <c r="T35" s="2"/>
      <c r="U35" s="2"/>
      <c r="V35" s="2"/>
      <c r="W35" s="2"/>
      <c r="X35" s="2"/>
    </row>
    <row r="36" spans="1:24" x14ac:dyDescent="0.4">
      <c r="A36" s="1">
        <v>129</v>
      </c>
      <c r="B36" s="1" t="s">
        <v>106</v>
      </c>
      <c r="C36" s="2" t="s">
        <v>703</v>
      </c>
      <c r="D36" s="2" t="s">
        <v>641</v>
      </c>
      <c r="E36" s="2" t="s">
        <v>750</v>
      </c>
      <c r="F36" s="2" t="s">
        <v>692</v>
      </c>
      <c r="G36" s="2"/>
      <c r="H36" s="2"/>
      <c r="I36" s="2"/>
      <c r="J36" s="2"/>
      <c r="K36" s="2"/>
      <c r="L36" s="2"/>
      <c r="M36" s="2"/>
      <c r="N36" s="2"/>
      <c r="O36" s="2"/>
      <c r="P36" s="2"/>
      <c r="Q36" s="2"/>
      <c r="R36" s="2"/>
      <c r="S36" s="2"/>
      <c r="T36" s="2"/>
      <c r="U36" s="2"/>
      <c r="V36" s="2"/>
      <c r="W36" s="2"/>
      <c r="X36" s="2"/>
    </row>
    <row r="37" spans="1:24" x14ac:dyDescent="0.4">
      <c r="A37" s="1">
        <v>134</v>
      </c>
      <c r="B37" s="1" t="s">
        <v>107</v>
      </c>
      <c r="C37" s="2" t="s">
        <v>641</v>
      </c>
      <c r="D37" s="2" t="s">
        <v>747</v>
      </c>
      <c r="E37" s="2" t="s">
        <v>720</v>
      </c>
      <c r="F37" s="2" t="s">
        <v>751</v>
      </c>
      <c r="G37" s="2" t="s">
        <v>666</v>
      </c>
      <c r="H37" s="2" t="s">
        <v>656</v>
      </c>
      <c r="I37" s="2" t="s">
        <v>675</v>
      </c>
      <c r="J37" s="2" t="s">
        <v>752</v>
      </c>
      <c r="K37" s="2" t="s">
        <v>660</v>
      </c>
      <c r="L37" s="2"/>
      <c r="M37" s="2"/>
      <c r="N37" s="2"/>
      <c r="O37" s="2"/>
      <c r="P37" s="2"/>
      <c r="Q37" s="2"/>
      <c r="R37" s="2"/>
      <c r="S37" s="2"/>
      <c r="T37" s="2"/>
      <c r="U37" s="2"/>
      <c r="V37" s="2"/>
      <c r="W37" s="2"/>
      <c r="X37" s="2"/>
    </row>
    <row r="38" spans="1:24" x14ac:dyDescent="0.4">
      <c r="A38" s="1">
        <v>135</v>
      </c>
      <c r="B38" s="1" t="s">
        <v>109</v>
      </c>
      <c r="C38" s="2" t="s">
        <v>652</v>
      </c>
      <c r="D38" s="2" t="s">
        <v>753</v>
      </c>
      <c r="E38" s="2" t="s">
        <v>733</v>
      </c>
      <c r="F38" s="2" t="s">
        <v>649</v>
      </c>
      <c r="G38" s="2" t="s">
        <v>667</v>
      </c>
      <c r="H38" s="2"/>
      <c r="I38" s="2"/>
      <c r="J38" s="2"/>
      <c r="K38" s="2"/>
      <c r="L38" s="2"/>
      <c r="M38" s="2"/>
      <c r="N38" s="2"/>
      <c r="O38" s="2"/>
      <c r="P38" s="2"/>
      <c r="Q38" s="2"/>
      <c r="R38" s="2"/>
      <c r="S38" s="2"/>
      <c r="T38" s="2"/>
      <c r="U38" s="2"/>
      <c r="V38" s="2"/>
      <c r="W38" s="2"/>
      <c r="X38" s="2"/>
    </row>
    <row r="39" spans="1:24" x14ac:dyDescent="0.4">
      <c r="A39" s="1">
        <v>139</v>
      </c>
      <c r="B39" s="1" t="s">
        <v>112</v>
      </c>
      <c r="C39" s="2" t="s">
        <v>754</v>
      </c>
      <c r="D39" s="2" t="s">
        <v>755</v>
      </c>
      <c r="E39" s="2" t="s">
        <v>735</v>
      </c>
      <c r="F39" s="2" t="s">
        <v>685</v>
      </c>
      <c r="G39" s="2"/>
      <c r="H39" s="2"/>
      <c r="I39" s="2"/>
      <c r="J39" s="2"/>
      <c r="K39" s="2"/>
      <c r="L39" s="2"/>
      <c r="M39" s="2"/>
      <c r="N39" s="2"/>
      <c r="O39" s="2"/>
      <c r="P39" s="2"/>
      <c r="Q39" s="2"/>
      <c r="R39" s="2"/>
      <c r="S39" s="2"/>
      <c r="T39" s="2"/>
      <c r="U39" s="2"/>
      <c r="V39" s="2"/>
      <c r="W39" s="2"/>
      <c r="X39" s="2"/>
    </row>
    <row r="40" spans="1:24" x14ac:dyDescent="0.4">
      <c r="A40" s="1">
        <v>146</v>
      </c>
      <c r="B40" s="1" t="s">
        <v>114</v>
      </c>
      <c r="C40" s="2" t="s">
        <v>756</v>
      </c>
      <c r="D40" s="2" t="s">
        <v>757</v>
      </c>
      <c r="E40" s="2"/>
      <c r="F40" s="2"/>
      <c r="G40" s="2"/>
      <c r="H40" s="2"/>
      <c r="I40" s="2"/>
      <c r="J40" s="2"/>
      <c r="K40" s="2"/>
      <c r="L40" s="2"/>
      <c r="M40" s="2"/>
      <c r="N40" s="2"/>
      <c r="O40" s="2"/>
      <c r="P40" s="2"/>
      <c r="Q40" s="2"/>
      <c r="R40" s="2"/>
      <c r="S40" s="2"/>
      <c r="T40" s="2"/>
      <c r="U40" s="2"/>
      <c r="V40" s="2"/>
      <c r="W40" s="2"/>
      <c r="X40" s="2"/>
    </row>
    <row r="41" spans="1:24" x14ac:dyDescent="0.4">
      <c r="A41" s="1">
        <v>147</v>
      </c>
      <c r="B41" s="1" t="s">
        <v>118</v>
      </c>
      <c r="C41" s="2" t="s">
        <v>649</v>
      </c>
      <c r="D41" s="2" t="s">
        <v>649</v>
      </c>
      <c r="E41" s="2" t="s">
        <v>645</v>
      </c>
      <c r="F41" s="2" t="s">
        <v>657</v>
      </c>
      <c r="G41" s="2" t="s">
        <v>703</v>
      </c>
      <c r="H41" s="2" t="s">
        <v>654</v>
      </c>
      <c r="I41" s="2" t="s">
        <v>758</v>
      </c>
      <c r="J41" s="2" t="s">
        <v>759</v>
      </c>
      <c r="K41" s="2" t="s">
        <v>745</v>
      </c>
      <c r="L41" s="2"/>
      <c r="M41" s="2"/>
      <c r="N41" s="2"/>
      <c r="O41" s="2"/>
      <c r="P41" s="2"/>
      <c r="Q41" s="2"/>
      <c r="R41" s="2"/>
      <c r="S41" s="2"/>
      <c r="T41" s="2"/>
      <c r="U41" s="2"/>
      <c r="V41" s="2"/>
      <c r="W41" s="2"/>
      <c r="X41" s="2"/>
    </row>
    <row r="42" spans="1:24" x14ac:dyDescent="0.4">
      <c r="A42" s="1">
        <v>150</v>
      </c>
      <c r="B42" s="1" t="s">
        <v>120</v>
      </c>
      <c r="C42" s="2" t="s">
        <v>649</v>
      </c>
      <c r="D42" s="2" t="s">
        <v>691</v>
      </c>
      <c r="E42" s="2" t="s">
        <v>760</v>
      </c>
      <c r="F42" s="2" t="s">
        <v>642</v>
      </c>
      <c r="G42" s="2" t="s">
        <v>717</v>
      </c>
      <c r="H42" s="2" t="s">
        <v>761</v>
      </c>
      <c r="I42" s="2" t="s">
        <v>762</v>
      </c>
      <c r="J42" s="2" t="s">
        <v>692</v>
      </c>
      <c r="K42" s="2" t="s">
        <v>758</v>
      </c>
      <c r="L42" s="2"/>
      <c r="M42" s="2"/>
      <c r="N42" s="2"/>
      <c r="O42" s="2"/>
      <c r="P42" s="2"/>
      <c r="Q42" s="2"/>
      <c r="R42" s="2"/>
      <c r="S42" s="2"/>
      <c r="T42" s="2"/>
      <c r="U42" s="2"/>
      <c r="V42" s="2"/>
      <c r="W42" s="2"/>
      <c r="X42" s="2"/>
    </row>
    <row r="43" spans="1:24" x14ac:dyDescent="0.4">
      <c r="A43" s="1">
        <v>153</v>
      </c>
      <c r="B43" s="1" t="s">
        <v>125</v>
      </c>
      <c r="C43" s="2" t="s">
        <v>688</v>
      </c>
      <c r="D43" s="2" t="s">
        <v>763</v>
      </c>
      <c r="E43" s="2" t="s">
        <v>764</v>
      </c>
      <c r="F43" s="2"/>
      <c r="G43" s="2"/>
      <c r="H43" s="2"/>
      <c r="I43" s="2"/>
      <c r="J43" s="2"/>
      <c r="K43" s="2"/>
      <c r="L43" s="2"/>
      <c r="M43" s="2"/>
      <c r="N43" s="2"/>
      <c r="O43" s="2"/>
      <c r="P43" s="2"/>
      <c r="Q43" s="2"/>
      <c r="R43" s="2"/>
      <c r="S43" s="2"/>
      <c r="T43" s="2"/>
      <c r="U43" s="2"/>
      <c r="V43" s="2"/>
      <c r="W43" s="2"/>
      <c r="X43" s="2"/>
    </row>
    <row r="44" spans="1:24" x14ac:dyDescent="0.4">
      <c r="A44" s="1">
        <v>155</v>
      </c>
      <c r="B44" s="1" t="s">
        <v>130</v>
      </c>
      <c r="C44" s="2" t="s">
        <v>685</v>
      </c>
      <c r="D44" s="2" t="s">
        <v>713</v>
      </c>
      <c r="E44" s="2"/>
      <c r="F44" s="2"/>
      <c r="G44" s="2"/>
      <c r="H44" s="2"/>
      <c r="I44" s="2"/>
      <c r="J44" s="2"/>
      <c r="K44" s="2"/>
      <c r="L44" s="2"/>
      <c r="M44" s="2"/>
      <c r="N44" s="2"/>
      <c r="O44" s="2"/>
      <c r="P44" s="2"/>
      <c r="Q44" s="2"/>
      <c r="R44" s="2"/>
      <c r="S44" s="2"/>
      <c r="T44" s="2"/>
      <c r="U44" s="2"/>
      <c r="V44" s="2"/>
      <c r="W44" s="2"/>
      <c r="X44" s="2"/>
    </row>
    <row r="45" spans="1:24" x14ac:dyDescent="0.4">
      <c r="A45" s="1">
        <v>156</v>
      </c>
      <c r="B45" s="1" t="s">
        <v>133</v>
      </c>
      <c r="C45" s="2" t="s">
        <v>685</v>
      </c>
      <c r="D45" s="2" t="s">
        <v>765</v>
      </c>
      <c r="E45" s="2" t="s">
        <v>766</v>
      </c>
      <c r="F45" s="2" t="s">
        <v>767</v>
      </c>
      <c r="G45" s="2"/>
      <c r="H45" s="2"/>
      <c r="I45" s="2"/>
      <c r="J45" s="2"/>
      <c r="K45" s="2"/>
      <c r="L45" s="2"/>
      <c r="M45" s="2"/>
      <c r="N45" s="2"/>
      <c r="O45" s="2"/>
      <c r="P45" s="2"/>
      <c r="Q45" s="2"/>
      <c r="R45" s="2"/>
      <c r="S45" s="2"/>
      <c r="T45" s="2"/>
      <c r="U45" s="2"/>
      <c r="V45" s="2"/>
      <c r="W45" s="2"/>
      <c r="X45" s="2"/>
    </row>
    <row r="46" spans="1:24" x14ac:dyDescent="0.4">
      <c r="A46" s="1">
        <v>157</v>
      </c>
      <c r="B46" s="1" t="s">
        <v>138</v>
      </c>
      <c r="C46" s="2" t="s">
        <v>642</v>
      </c>
      <c r="D46" s="2" t="s">
        <v>713</v>
      </c>
      <c r="E46" s="2"/>
      <c r="F46" s="2"/>
      <c r="G46" s="2"/>
      <c r="H46" s="2"/>
      <c r="I46" s="2"/>
      <c r="J46" s="2"/>
      <c r="K46" s="2"/>
      <c r="L46" s="2"/>
      <c r="M46" s="2"/>
      <c r="N46" s="2"/>
      <c r="O46" s="2"/>
      <c r="P46" s="2"/>
      <c r="Q46" s="2"/>
      <c r="R46" s="2"/>
      <c r="S46" s="2"/>
      <c r="T46" s="2"/>
      <c r="U46" s="2"/>
      <c r="V46" s="2"/>
      <c r="W46" s="2"/>
      <c r="X46" s="2"/>
    </row>
    <row r="47" spans="1:24" x14ac:dyDescent="0.4">
      <c r="A47" s="1">
        <v>158</v>
      </c>
      <c r="B47" s="1" t="s">
        <v>141</v>
      </c>
      <c r="C47" s="2" t="s">
        <v>649</v>
      </c>
      <c r="D47" s="2" t="s">
        <v>675</v>
      </c>
      <c r="E47" s="2" t="s">
        <v>666</v>
      </c>
      <c r="F47" s="2" t="s">
        <v>768</v>
      </c>
      <c r="G47" s="2" t="s">
        <v>769</v>
      </c>
      <c r="H47" s="2" t="s">
        <v>770</v>
      </c>
      <c r="I47" s="2" t="s">
        <v>706</v>
      </c>
      <c r="J47" s="2" t="s">
        <v>665</v>
      </c>
      <c r="K47" s="2" t="s">
        <v>771</v>
      </c>
      <c r="L47" s="2" t="s">
        <v>707</v>
      </c>
      <c r="M47" s="2"/>
      <c r="N47" s="2"/>
      <c r="O47" s="2"/>
      <c r="P47" s="2"/>
      <c r="Q47" s="2"/>
      <c r="R47" s="2"/>
      <c r="S47" s="2"/>
      <c r="T47" s="2"/>
      <c r="U47" s="2"/>
      <c r="V47" s="2"/>
      <c r="W47" s="2"/>
      <c r="X47" s="2"/>
    </row>
    <row r="48" spans="1:24" x14ac:dyDescent="0.4">
      <c r="A48" s="1">
        <v>159</v>
      </c>
      <c r="B48" s="1" t="s">
        <v>147</v>
      </c>
      <c r="C48" s="2" t="s">
        <v>772</v>
      </c>
      <c r="D48" s="2" t="s">
        <v>669</v>
      </c>
      <c r="E48" s="2" t="s">
        <v>642</v>
      </c>
      <c r="F48" s="2" t="s">
        <v>641</v>
      </c>
      <c r="G48" s="2"/>
      <c r="H48" s="2"/>
      <c r="I48" s="2"/>
      <c r="J48" s="2"/>
      <c r="K48" s="2"/>
      <c r="L48" s="2"/>
      <c r="M48" s="2"/>
      <c r="N48" s="2"/>
      <c r="O48" s="2"/>
      <c r="P48" s="2"/>
      <c r="Q48" s="2"/>
      <c r="R48" s="2"/>
      <c r="S48" s="2"/>
      <c r="T48" s="2"/>
      <c r="U48" s="2"/>
      <c r="V48" s="2"/>
      <c r="W48" s="2"/>
      <c r="X48" s="2"/>
    </row>
    <row r="49" spans="1:24" x14ac:dyDescent="0.4">
      <c r="A49" s="1">
        <v>160</v>
      </c>
      <c r="B49" s="1" t="s">
        <v>152</v>
      </c>
      <c r="C49" s="2" t="s">
        <v>773</v>
      </c>
      <c r="D49" s="2" t="s">
        <v>774</v>
      </c>
      <c r="E49" s="2"/>
      <c r="F49" s="2"/>
      <c r="G49" s="2"/>
      <c r="H49" s="2"/>
      <c r="I49" s="2"/>
      <c r="J49" s="2"/>
      <c r="K49" s="2"/>
      <c r="L49" s="2"/>
      <c r="M49" s="2"/>
      <c r="N49" s="2"/>
      <c r="O49" s="2"/>
      <c r="P49" s="2"/>
      <c r="Q49" s="2"/>
      <c r="R49" s="2"/>
      <c r="S49" s="2"/>
      <c r="T49" s="2"/>
      <c r="U49" s="2"/>
      <c r="V49" s="2"/>
      <c r="W49" s="2"/>
      <c r="X49" s="2"/>
    </row>
    <row r="50" spans="1:24" x14ac:dyDescent="0.4">
      <c r="A50" s="1">
        <v>164</v>
      </c>
      <c r="B50" s="1" t="s">
        <v>157</v>
      </c>
      <c r="C50" s="2" t="s">
        <v>649</v>
      </c>
      <c r="D50" s="2" t="s">
        <v>641</v>
      </c>
      <c r="E50" s="2" t="s">
        <v>642</v>
      </c>
      <c r="F50" s="2" t="s">
        <v>768</v>
      </c>
      <c r="G50" s="2" t="s">
        <v>775</v>
      </c>
      <c r="H50" s="2" t="s">
        <v>669</v>
      </c>
      <c r="I50" s="2"/>
      <c r="J50" s="2"/>
      <c r="K50" s="2"/>
      <c r="L50" s="2"/>
      <c r="M50" s="2"/>
      <c r="N50" s="2"/>
      <c r="O50" s="2"/>
      <c r="P50" s="2"/>
      <c r="Q50" s="2"/>
      <c r="R50" s="2"/>
      <c r="S50" s="2"/>
      <c r="T50" s="2"/>
      <c r="U50" s="2"/>
      <c r="V50" s="2"/>
      <c r="W50" s="2"/>
      <c r="X50" s="2"/>
    </row>
    <row r="51" spans="1:24" x14ac:dyDescent="0.4">
      <c r="A51" s="1">
        <v>165</v>
      </c>
      <c r="B51" s="1" t="s">
        <v>159</v>
      </c>
      <c r="C51" s="2" t="s">
        <v>715</v>
      </c>
      <c r="D51" s="2" t="s">
        <v>649</v>
      </c>
      <c r="E51" s="2" t="s">
        <v>685</v>
      </c>
      <c r="F51" s="2"/>
      <c r="G51" s="2"/>
      <c r="H51" s="2"/>
      <c r="I51" s="2"/>
      <c r="J51" s="2"/>
      <c r="K51" s="2"/>
      <c r="L51" s="2"/>
      <c r="M51" s="2"/>
      <c r="N51" s="2"/>
      <c r="O51" s="2"/>
      <c r="P51" s="2"/>
      <c r="Q51" s="2"/>
      <c r="R51" s="2"/>
      <c r="S51" s="2"/>
      <c r="T51" s="2"/>
      <c r="U51" s="2"/>
      <c r="V51" s="2"/>
      <c r="W51" s="2"/>
      <c r="X51" s="2"/>
    </row>
    <row r="52" spans="1:24" x14ac:dyDescent="0.4">
      <c r="A52" s="1">
        <v>175</v>
      </c>
      <c r="B52" s="1" t="s">
        <v>161</v>
      </c>
      <c r="C52" s="2" t="s">
        <v>776</v>
      </c>
      <c r="D52" s="2"/>
      <c r="E52" s="2"/>
      <c r="F52" s="2"/>
      <c r="G52" s="2"/>
      <c r="H52" s="2"/>
      <c r="I52" s="2"/>
      <c r="J52" s="2"/>
      <c r="K52" s="2"/>
      <c r="L52" s="2"/>
      <c r="M52" s="2"/>
      <c r="N52" s="2"/>
      <c r="O52" s="2"/>
      <c r="P52" s="2"/>
      <c r="Q52" s="2"/>
      <c r="R52" s="2"/>
      <c r="S52" s="2"/>
      <c r="T52" s="2"/>
      <c r="U52" s="2"/>
      <c r="V52" s="2"/>
      <c r="W52" s="2"/>
      <c r="X52" s="2"/>
    </row>
    <row r="53" spans="1:24" x14ac:dyDescent="0.4">
      <c r="A53" s="1">
        <v>176</v>
      </c>
      <c r="B53" s="1" t="s">
        <v>165</v>
      </c>
      <c r="C53" s="2" t="s">
        <v>649</v>
      </c>
      <c r="D53" s="2" t="s">
        <v>699</v>
      </c>
      <c r="E53" s="2" t="s">
        <v>641</v>
      </c>
      <c r="F53" s="2" t="s">
        <v>642</v>
      </c>
      <c r="G53" s="2" t="s">
        <v>657</v>
      </c>
      <c r="H53" s="2" t="s">
        <v>666</v>
      </c>
      <c r="I53" s="2" t="s">
        <v>777</v>
      </c>
      <c r="J53" s="2" t="s">
        <v>778</v>
      </c>
      <c r="K53" s="2" t="s">
        <v>779</v>
      </c>
      <c r="L53" s="2" t="s">
        <v>780</v>
      </c>
      <c r="M53" s="2" t="s">
        <v>717</v>
      </c>
      <c r="N53" s="2" t="s">
        <v>781</v>
      </c>
      <c r="O53" s="2" t="s">
        <v>665</v>
      </c>
      <c r="P53" s="2" t="s">
        <v>770</v>
      </c>
      <c r="Q53" s="2" t="s">
        <v>782</v>
      </c>
      <c r="R53" s="2" t="s">
        <v>707</v>
      </c>
      <c r="S53" s="2" t="s">
        <v>783</v>
      </c>
      <c r="T53" s="2" t="s">
        <v>768</v>
      </c>
      <c r="U53" s="2" t="s">
        <v>784</v>
      </c>
      <c r="V53" s="2"/>
      <c r="W53" s="2"/>
      <c r="X53" s="2"/>
    </row>
    <row r="54" spans="1:24" x14ac:dyDescent="0.4">
      <c r="A54" s="1">
        <v>177</v>
      </c>
      <c r="B54" s="1" t="s">
        <v>169</v>
      </c>
      <c r="C54" s="2" t="s">
        <v>717</v>
      </c>
      <c r="D54" s="2" t="s">
        <v>649</v>
      </c>
      <c r="E54" s="2" t="s">
        <v>642</v>
      </c>
      <c r="F54" s="2" t="s">
        <v>646</v>
      </c>
      <c r="G54" s="2" t="s">
        <v>706</v>
      </c>
      <c r="H54" s="2" t="s">
        <v>781</v>
      </c>
      <c r="I54" s="2"/>
      <c r="J54" s="2"/>
      <c r="K54" s="2"/>
      <c r="L54" s="2"/>
      <c r="M54" s="2"/>
      <c r="N54" s="2"/>
      <c r="O54" s="2"/>
      <c r="P54" s="2"/>
      <c r="Q54" s="2"/>
      <c r="R54" s="2"/>
      <c r="S54" s="2"/>
      <c r="T54" s="2"/>
      <c r="U54" s="2"/>
      <c r="V54" s="2"/>
      <c r="W54" s="2"/>
      <c r="X54" s="2"/>
    </row>
    <row r="55" spans="1:24" x14ac:dyDescent="0.4">
      <c r="A55" s="1">
        <v>178</v>
      </c>
      <c r="B55" s="1" t="s">
        <v>171</v>
      </c>
      <c r="C55" s="2" t="s">
        <v>685</v>
      </c>
      <c r="D55" s="2"/>
      <c r="E55" s="2"/>
      <c r="F55" s="2"/>
      <c r="G55" s="2"/>
      <c r="H55" s="2"/>
      <c r="I55" s="2"/>
      <c r="J55" s="2"/>
      <c r="K55" s="2"/>
      <c r="L55" s="2"/>
      <c r="M55" s="2"/>
      <c r="N55" s="2"/>
      <c r="O55" s="2"/>
      <c r="P55" s="2"/>
      <c r="Q55" s="2"/>
      <c r="R55" s="2"/>
      <c r="S55" s="2"/>
      <c r="T55" s="2"/>
      <c r="U55" s="2"/>
      <c r="V55" s="2"/>
      <c r="W55" s="2"/>
      <c r="X55" s="2"/>
    </row>
    <row r="56" spans="1:24" x14ac:dyDescent="0.4">
      <c r="A56" s="1">
        <v>179</v>
      </c>
      <c r="B56" s="1" t="s">
        <v>173</v>
      </c>
      <c r="C56" s="2" t="s">
        <v>685</v>
      </c>
      <c r="D56" s="2" t="s">
        <v>728</v>
      </c>
      <c r="E56" s="2" t="s">
        <v>785</v>
      </c>
      <c r="F56" s="2" t="s">
        <v>786</v>
      </c>
      <c r="G56" s="2"/>
      <c r="H56" s="2"/>
      <c r="I56" s="2"/>
      <c r="J56" s="2"/>
      <c r="K56" s="2"/>
      <c r="L56" s="2"/>
      <c r="M56" s="2"/>
      <c r="N56" s="2"/>
      <c r="O56" s="2"/>
      <c r="P56" s="2"/>
      <c r="Q56" s="2"/>
      <c r="R56" s="2"/>
      <c r="S56" s="2"/>
      <c r="T56" s="2"/>
      <c r="U56" s="2"/>
      <c r="V56" s="2"/>
      <c r="W56" s="2"/>
      <c r="X56" s="2"/>
    </row>
    <row r="57" spans="1:24" x14ac:dyDescent="0.4">
      <c r="A57" s="1">
        <v>184</v>
      </c>
      <c r="B57" s="1" t="s">
        <v>175</v>
      </c>
      <c r="C57" s="2" t="s">
        <v>673</v>
      </c>
      <c r="D57" s="2" t="s">
        <v>642</v>
      </c>
      <c r="E57" s="2" t="s">
        <v>641</v>
      </c>
      <c r="F57" s="2" t="s">
        <v>649</v>
      </c>
      <c r="G57" s="2"/>
      <c r="H57" s="2"/>
      <c r="I57" s="2"/>
      <c r="J57" s="2"/>
      <c r="K57" s="2"/>
      <c r="L57" s="2"/>
      <c r="M57" s="2"/>
      <c r="N57" s="2"/>
      <c r="O57" s="2"/>
      <c r="P57" s="2"/>
      <c r="Q57" s="2"/>
      <c r="R57" s="2"/>
      <c r="S57" s="2"/>
      <c r="T57" s="2"/>
      <c r="U57" s="2"/>
      <c r="V57" s="2"/>
      <c r="W57" s="2"/>
      <c r="X57" s="2"/>
    </row>
    <row r="58" spans="1:24" x14ac:dyDescent="0.4">
      <c r="A58" s="1">
        <v>186</v>
      </c>
      <c r="B58" s="1" t="s">
        <v>176</v>
      </c>
      <c r="C58" s="2" t="s">
        <v>649</v>
      </c>
      <c r="D58" s="2" t="s">
        <v>785</v>
      </c>
      <c r="E58" s="2" t="s">
        <v>780</v>
      </c>
      <c r="F58" s="2" t="s">
        <v>787</v>
      </c>
      <c r="G58" s="2" t="s">
        <v>652</v>
      </c>
      <c r="H58" s="2"/>
      <c r="I58" s="2"/>
      <c r="J58" s="2"/>
      <c r="K58" s="2"/>
      <c r="L58" s="2"/>
      <c r="M58" s="2"/>
      <c r="N58" s="2"/>
      <c r="O58" s="2"/>
      <c r="P58" s="2"/>
      <c r="Q58" s="2"/>
      <c r="R58" s="2"/>
      <c r="S58" s="2"/>
      <c r="T58" s="2"/>
      <c r="U58" s="2"/>
      <c r="V58" s="2"/>
      <c r="W58" s="2"/>
      <c r="X58" s="2"/>
    </row>
    <row r="59" spans="1:24" x14ac:dyDescent="0.4">
      <c r="A59" s="1">
        <v>192</v>
      </c>
      <c r="B59" s="1" t="s">
        <v>177</v>
      </c>
      <c r="C59" s="2" t="s">
        <v>676</v>
      </c>
      <c r="D59" s="2" t="s">
        <v>776</v>
      </c>
      <c r="E59" s="2" t="s">
        <v>785</v>
      </c>
      <c r="F59" s="2" t="s">
        <v>776</v>
      </c>
      <c r="G59" s="2"/>
      <c r="H59" s="2"/>
      <c r="I59" s="2"/>
      <c r="J59" s="2"/>
      <c r="K59" s="2"/>
      <c r="L59" s="2"/>
      <c r="M59" s="2"/>
      <c r="N59" s="2"/>
      <c r="O59" s="2"/>
      <c r="P59" s="2"/>
      <c r="Q59" s="2"/>
      <c r="R59" s="2"/>
      <c r="S59" s="2"/>
      <c r="T59" s="2"/>
      <c r="U59" s="2"/>
      <c r="V59" s="2"/>
      <c r="W59" s="2"/>
      <c r="X59" s="2"/>
    </row>
    <row r="60" spans="1:24" x14ac:dyDescent="0.4">
      <c r="A60" s="1">
        <v>194</v>
      </c>
      <c r="B60" s="1" t="s">
        <v>179</v>
      </c>
      <c r="C60" s="2" t="s">
        <v>788</v>
      </c>
      <c r="D60" s="2" t="s">
        <v>789</v>
      </c>
      <c r="E60" s="2" t="s">
        <v>652</v>
      </c>
      <c r="F60" s="2" t="s">
        <v>790</v>
      </c>
      <c r="G60" s="2"/>
      <c r="H60" s="2"/>
      <c r="I60" s="2"/>
      <c r="J60" s="2"/>
      <c r="K60" s="2"/>
      <c r="L60" s="2"/>
      <c r="M60" s="2"/>
      <c r="N60" s="2"/>
      <c r="O60" s="2"/>
      <c r="P60" s="2"/>
      <c r="Q60" s="2"/>
      <c r="R60" s="2"/>
      <c r="S60" s="2"/>
      <c r="T60" s="2"/>
      <c r="U60" s="2"/>
      <c r="V60" s="2"/>
      <c r="W60" s="2"/>
      <c r="X60" s="2"/>
    </row>
    <row r="61" spans="1:24" x14ac:dyDescent="0.4">
      <c r="A61" s="1">
        <v>197</v>
      </c>
      <c r="B61" s="1" t="s">
        <v>184</v>
      </c>
      <c r="C61" s="2" t="s">
        <v>685</v>
      </c>
      <c r="D61" s="2" t="s">
        <v>791</v>
      </c>
      <c r="E61" s="2"/>
      <c r="F61" s="2"/>
      <c r="G61" s="2"/>
      <c r="H61" s="2"/>
      <c r="I61" s="2"/>
      <c r="J61" s="2"/>
      <c r="K61" s="2"/>
      <c r="L61" s="2"/>
      <c r="M61" s="2"/>
      <c r="N61" s="2"/>
      <c r="O61" s="2"/>
      <c r="P61" s="2"/>
      <c r="Q61" s="2"/>
      <c r="R61" s="2"/>
      <c r="S61" s="2"/>
      <c r="T61" s="2"/>
      <c r="U61" s="2"/>
      <c r="V61" s="2"/>
      <c r="W61" s="2"/>
      <c r="X61" s="2"/>
    </row>
    <row r="62" spans="1:24" x14ac:dyDescent="0.4">
      <c r="A62" s="1">
        <v>198</v>
      </c>
      <c r="B62" s="1" t="s">
        <v>186</v>
      </c>
      <c r="C62" s="2" t="s">
        <v>740</v>
      </c>
      <c r="D62" s="2"/>
      <c r="E62" s="2"/>
      <c r="F62" s="2"/>
      <c r="G62" s="2"/>
      <c r="H62" s="2"/>
      <c r="I62" s="2"/>
      <c r="J62" s="2"/>
      <c r="K62" s="2"/>
      <c r="L62" s="2"/>
      <c r="M62" s="2"/>
      <c r="N62" s="2"/>
      <c r="O62" s="2"/>
      <c r="P62" s="2"/>
      <c r="Q62" s="2"/>
      <c r="R62" s="2"/>
      <c r="S62" s="2"/>
      <c r="T62" s="2"/>
      <c r="U62" s="2"/>
      <c r="V62" s="2"/>
      <c r="W62" s="2"/>
      <c r="X62" s="2"/>
    </row>
    <row r="63" spans="1:24" x14ac:dyDescent="0.4">
      <c r="A63" s="1">
        <v>199</v>
      </c>
      <c r="B63" s="1" t="s">
        <v>187</v>
      </c>
      <c r="C63" s="2" t="s">
        <v>792</v>
      </c>
      <c r="D63" s="2" t="s">
        <v>703</v>
      </c>
      <c r="E63" s="2" t="s">
        <v>649</v>
      </c>
      <c r="F63" s="2" t="s">
        <v>793</v>
      </c>
      <c r="G63" s="2"/>
      <c r="H63" s="2"/>
      <c r="I63" s="2"/>
      <c r="J63" s="2"/>
      <c r="K63" s="2"/>
      <c r="L63" s="2"/>
      <c r="M63" s="2"/>
      <c r="N63" s="2"/>
      <c r="O63" s="2"/>
      <c r="P63" s="2"/>
      <c r="Q63" s="2"/>
      <c r="R63" s="2"/>
      <c r="S63" s="2"/>
      <c r="T63" s="2"/>
      <c r="U63" s="2"/>
      <c r="V63" s="2"/>
      <c r="W63" s="2"/>
      <c r="X63" s="2"/>
    </row>
    <row r="64" spans="1:24" x14ac:dyDescent="0.4">
      <c r="A64" s="1">
        <v>200</v>
      </c>
      <c r="B64" s="1" t="s">
        <v>189</v>
      </c>
      <c r="C64" s="2" t="s">
        <v>657</v>
      </c>
      <c r="D64" s="2" t="s">
        <v>693</v>
      </c>
      <c r="E64" s="2" t="s">
        <v>783</v>
      </c>
      <c r="F64" s="2" t="s">
        <v>794</v>
      </c>
      <c r="G64" s="2" t="s">
        <v>795</v>
      </c>
      <c r="H64" s="2" t="s">
        <v>641</v>
      </c>
      <c r="I64" s="2" t="s">
        <v>796</v>
      </c>
      <c r="J64" s="2" t="s">
        <v>649</v>
      </c>
      <c r="K64" s="2" t="s">
        <v>664</v>
      </c>
      <c r="L64" s="2"/>
      <c r="M64" s="2"/>
      <c r="N64" s="2"/>
      <c r="O64" s="2"/>
      <c r="P64" s="2"/>
      <c r="Q64" s="2"/>
      <c r="R64" s="2"/>
      <c r="S64" s="2"/>
      <c r="T64" s="2"/>
      <c r="U64" s="2"/>
      <c r="V64" s="2"/>
      <c r="W64" s="2"/>
      <c r="X64" s="2"/>
    </row>
    <row r="65" spans="1:24" x14ac:dyDescent="0.4">
      <c r="A65" s="1">
        <v>201</v>
      </c>
      <c r="B65" s="1" t="s">
        <v>192</v>
      </c>
      <c r="C65" s="2" t="s">
        <v>685</v>
      </c>
      <c r="D65" s="2" t="s">
        <v>740</v>
      </c>
      <c r="E65" s="2" t="s">
        <v>797</v>
      </c>
      <c r="F65" s="2"/>
      <c r="G65" s="2"/>
      <c r="H65" s="2"/>
      <c r="I65" s="2"/>
      <c r="J65" s="2"/>
      <c r="K65" s="2"/>
      <c r="L65" s="2"/>
      <c r="M65" s="2"/>
      <c r="N65" s="2"/>
      <c r="O65" s="2"/>
      <c r="P65" s="2"/>
      <c r="Q65" s="2"/>
      <c r="R65" s="2"/>
      <c r="S65" s="2"/>
      <c r="T65" s="2"/>
      <c r="U65" s="2"/>
      <c r="V65" s="2"/>
      <c r="W65" s="2"/>
      <c r="X65" s="2"/>
    </row>
    <row r="66" spans="1:24" x14ac:dyDescent="0.4">
      <c r="A66" s="1">
        <v>203</v>
      </c>
      <c r="B66" s="1" t="s">
        <v>194</v>
      </c>
      <c r="C66" s="2" t="s">
        <v>649</v>
      </c>
      <c r="D66" s="2" t="s">
        <v>664</v>
      </c>
      <c r="E66" s="2" t="s">
        <v>675</v>
      </c>
      <c r="F66" s="2" t="s">
        <v>703</v>
      </c>
      <c r="G66" s="2"/>
      <c r="H66" s="2"/>
      <c r="I66" s="2"/>
      <c r="J66" s="2"/>
      <c r="K66" s="2"/>
      <c r="L66" s="2"/>
      <c r="M66" s="2"/>
      <c r="N66" s="2"/>
      <c r="O66" s="2"/>
      <c r="P66" s="2"/>
      <c r="Q66" s="2"/>
      <c r="R66" s="2"/>
      <c r="S66" s="2"/>
      <c r="T66" s="2"/>
      <c r="U66" s="2"/>
      <c r="V66" s="2"/>
      <c r="W66" s="2"/>
      <c r="X66" s="2"/>
    </row>
    <row r="67" spans="1:24" x14ac:dyDescent="0.4">
      <c r="A67" s="1">
        <v>204</v>
      </c>
      <c r="B67" s="1" t="s">
        <v>195</v>
      </c>
      <c r="C67" s="2" t="s">
        <v>641</v>
      </c>
      <c r="D67" s="2" t="s">
        <v>675</v>
      </c>
      <c r="E67" s="2" t="s">
        <v>652</v>
      </c>
      <c r="F67" s="2" t="s">
        <v>653</v>
      </c>
      <c r="G67" s="2" t="s">
        <v>656</v>
      </c>
      <c r="H67" s="2" t="s">
        <v>752</v>
      </c>
      <c r="I67" s="2" t="s">
        <v>660</v>
      </c>
      <c r="J67" s="2" t="s">
        <v>720</v>
      </c>
      <c r="K67" s="2"/>
      <c r="L67" s="2"/>
      <c r="M67" s="2"/>
      <c r="N67" s="2"/>
      <c r="O67" s="2"/>
      <c r="P67" s="2"/>
      <c r="Q67" s="2"/>
      <c r="R67" s="2"/>
      <c r="S67" s="2"/>
      <c r="T67" s="2"/>
      <c r="U67" s="2"/>
      <c r="V67" s="2"/>
      <c r="W67" s="2"/>
      <c r="X67" s="2"/>
    </row>
    <row r="68" spans="1:24" x14ac:dyDescent="0.4">
      <c r="A68" s="1">
        <v>206</v>
      </c>
      <c r="B68" s="1" t="s">
        <v>198</v>
      </c>
      <c r="C68" s="2" t="s">
        <v>685</v>
      </c>
      <c r="D68" s="2" t="s">
        <v>798</v>
      </c>
      <c r="E68" s="2" t="s">
        <v>799</v>
      </c>
      <c r="F68" s="2"/>
      <c r="G68" s="2"/>
      <c r="H68" s="2"/>
      <c r="I68" s="2"/>
      <c r="J68" s="2"/>
      <c r="K68" s="2"/>
      <c r="L68" s="2"/>
      <c r="M68" s="2"/>
      <c r="N68" s="2"/>
      <c r="O68" s="2"/>
      <c r="P68" s="2"/>
      <c r="Q68" s="2"/>
      <c r="R68" s="2"/>
      <c r="S68" s="2"/>
      <c r="T68" s="2"/>
      <c r="U68" s="2"/>
      <c r="V68" s="2"/>
      <c r="W68" s="2"/>
      <c r="X68" s="2"/>
    </row>
    <row r="69" spans="1:24" x14ac:dyDescent="0.4">
      <c r="A69" s="1">
        <v>210</v>
      </c>
      <c r="B69" s="1" t="s">
        <v>201</v>
      </c>
      <c r="C69" s="2" t="s">
        <v>790</v>
      </c>
      <c r="D69" s="2" t="s">
        <v>703</v>
      </c>
      <c r="E69" s="2" t="s">
        <v>641</v>
      </c>
      <c r="F69" s="2" t="s">
        <v>800</v>
      </c>
      <c r="G69" s="2"/>
      <c r="H69" s="2"/>
      <c r="I69" s="2"/>
      <c r="J69" s="2"/>
      <c r="K69" s="2"/>
      <c r="L69" s="2"/>
      <c r="M69" s="2"/>
      <c r="N69" s="2"/>
      <c r="O69" s="2"/>
      <c r="P69" s="2"/>
      <c r="Q69" s="2"/>
      <c r="R69" s="2"/>
      <c r="S69" s="2"/>
      <c r="T69" s="2"/>
      <c r="U69" s="2"/>
      <c r="V69" s="2"/>
      <c r="W69" s="2"/>
      <c r="X69" s="2"/>
    </row>
    <row r="70" spans="1:24" x14ac:dyDescent="0.4">
      <c r="A70" s="1">
        <v>212</v>
      </c>
      <c r="B70" s="1" t="s">
        <v>203</v>
      </c>
      <c r="C70" s="2" t="s">
        <v>685</v>
      </c>
      <c r="D70" s="2" t="s">
        <v>801</v>
      </c>
      <c r="E70" s="2" t="s">
        <v>802</v>
      </c>
      <c r="F70" s="2" t="s">
        <v>675</v>
      </c>
      <c r="G70" s="2"/>
      <c r="H70" s="2"/>
      <c r="I70" s="2"/>
      <c r="J70" s="2"/>
      <c r="K70" s="2"/>
      <c r="L70" s="2"/>
      <c r="M70" s="2"/>
      <c r="N70" s="2"/>
      <c r="O70" s="2"/>
      <c r="P70" s="2"/>
      <c r="Q70" s="2"/>
      <c r="R70" s="2"/>
      <c r="S70" s="2"/>
      <c r="T70" s="2"/>
      <c r="U70" s="2"/>
      <c r="V70" s="2"/>
      <c r="W70" s="2"/>
      <c r="X70" s="2"/>
    </row>
    <row r="71" spans="1:24" x14ac:dyDescent="0.4">
      <c r="A71" s="1">
        <v>213</v>
      </c>
      <c r="B71" s="1" t="s">
        <v>206</v>
      </c>
      <c r="C71" s="2" t="s">
        <v>651</v>
      </c>
      <c r="D71" s="2" t="s">
        <v>649</v>
      </c>
      <c r="E71" s="2" t="s">
        <v>664</v>
      </c>
      <c r="F71" s="2" t="s">
        <v>703</v>
      </c>
      <c r="G71" s="2" t="s">
        <v>678</v>
      </c>
      <c r="H71" s="2" t="s">
        <v>671</v>
      </c>
      <c r="I71" s="2" t="s">
        <v>717</v>
      </c>
      <c r="J71" s="2" t="s">
        <v>695</v>
      </c>
      <c r="K71" s="2" t="s">
        <v>803</v>
      </c>
      <c r="L71" s="2" t="s">
        <v>652</v>
      </c>
      <c r="M71" s="2" t="s">
        <v>656</v>
      </c>
      <c r="N71" s="2"/>
      <c r="O71" s="2"/>
      <c r="P71" s="2"/>
      <c r="Q71" s="2"/>
      <c r="R71" s="2"/>
      <c r="S71" s="2"/>
      <c r="T71" s="2"/>
      <c r="U71" s="2"/>
      <c r="V71" s="2"/>
      <c r="W71" s="2"/>
      <c r="X71" s="2"/>
    </row>
    <row r="72" spans="1:24" x14ac:dyDescent="0.4">
      <c r="A72" s="1">
        <v>213</v>
      </c>
      <c r="B72" s="1" t="s">
        <v>206</v>
      </c>
      <c r="C72" s="2" t="s">
        <v>804</v>
      </c>
      <c r="D72" s="2" t="s">
        <v>703</v>
      </c>
      <c r="E72" s="2" t="s">
        <v>685</v>
      </c>
      <c r="F72" s="2" t="s">
        <v>719</v>
      </c>
      <c r="G72" s="2" t="s">
        <v>675</v>
      </c>
      <c r="H72" s="2"/>
      <c r="I72" s="2"/>
      <c r="J72" s="2"/>
      <c r="K72" s="2"/>
      <c r="L72" s="2"/>
      <c r="M72" s="2"/>
      <c r="N72" s="2"/>
      <c r="O72" s="2"/>
      <c r="P72" s="2"/>
      <c r="Q72" s="2"/>
      <c r="R72" s="2"/>
      <c r="S72" s="2"/>
      <c r="T72" s="2"/>
      <c r="U72" s="2"/>
      <c r="V72" s="2"/>
      <c r="W72" s="2"/>
      <c r="X72" s="2"/>
    </row>
    <row r="73" spans="1:24" x14ac:dyDescent="0.4">
      <c r="A73" s="1">
        <v>214</v>
      </c>
      <c r="B73" s="1" t="s">
        <v>209</v>
      </c>
      <c r="C73" s="2" t="s">
        <v>641</v>
      </c>
      <c r="D73" s="2" t="s">
        <v>642</v>
      </c>
      <c r="E73" s="2"/>
      <c r="F73" s="2"/>
      <c r="G73" s="2"/>
      <c r="H73" s="2"/>
      <c r="I73" s="2"/>
      <c r="J73" s="2"/>
      <c r="K73" s="2"/>
      <c r="L73" s="2"/>
      <c r="M73" s="2"/>
      <c r="N73" s="2"/>
      <c r="O73" s="2"/>
      <c r="P73" s="2"/>
      <c r="Q73" s="2"/>
      <c r="R73" s="2"/>
      <c r="S73" s="2"/>
      <c r="T73" s="2"/>
      <c r="U73" s="2"/>
      <c r="V73" s="2"/>
      <c r="W73" s="2"/>
      <c r="X73" s="2"/>
    </row>
    <row r="74" spans="1:24" x14ac:dyDescent="0.4">
      <c r="A74" s="1">
        <v>215</v>
      </c>
      <c r="B74" s="1" t="s">
        <v>210</v>
      </c>
      <c r="C74" s="2" t="s">
        <v>703</v>
      </c>
      <c r="D74" s="2" t="s">
        <v>805</v>
      </c>
      <c r="E74" s="2" t="s">
        <v>641</v>
      </c>
      <c r="F74" s="2"/>
      <c r="G74" s="2"/>
      <c r="H74" s="2"/>
      <c r="I74" s="2"/>
      <c r="J74" s="2"/>
      <c r="K74" s="2"/>
      <c r="L74" s="2"/>
      <c r="M74" s="2"/>
      <c r="N74" s="2"/>
      <c r="O74" s="2"/>
      <c r="P74" s="2"/>
      <c r="Q74" s="2"/>
      <c r="R74" s="2"/>
      <c r="S74" s="2"/>
      <c r="T74" s="2"/>
      <c r="U74" s="2"/>
      <c r="V74" s="2"/>
      <c r="W74" s="2"/>
      <c r="X74" s="2"/>
    </row>
    <row r="75" spans="1:24" x14ac:dyDescent="0.4">
      <c r="A75" s="1">
        <v>216</v>
      </c>
      <c r="B75" s="1" t="s">
        <v>212</v>
      </c>
      <c r="C75" s="2" t="s">
        <v>703</v>
      </c>
      <c r="D75" s="2" t="s">
        <v>641</v>
      </c>
      <c r="E75" s="2" t="s">
        <v>778</v>
      </c>
      <c r="F75" s="2" t="s">
        <v>806</v>
      </c>
      <c r="G75" s="2" t="s">
        <v>807</v>
      </c>
      <c r="H75" s="2" t="s">
        <v>808</v>
      </c>
      <c r="I75" s="2"/>
      <c r="J75" s="2"/>
      <c r="K75" s="2"/>
      <c r="L75" s="2"/>
      <c r="M75" s="2"/>
      <c r="N75" s="2"/>
      <c r="O75" s="2"/>
      <c r="P75" s="2"/>
      <c r="Q75" s="2"/>
      <c r="R75" s="2"/>
      <c r="S75" s="2"/>
      <c r="T75" s="2"/>
      <c r="U75" s="2"/>
      <c r="V75" s="2"/>
      <c r="W75" s="2"/>
      <c r="X75" s="2"/>
    </row>
    <row r="76" spans="1:24" x14ac:dyDescent="0.4">
      <c r="A76" s="1">
        <v>217</v>
      </c>
      <c r="B76" s="1" t="s">
        <v>215</v>
      </c>
      <c r="C76" s="2" t="s">
        <v>685</v>
      </c>
      <c r="D76" s="2"/>
      <c r="E76" s="2"/>
      <c r="F76" s="2"/>
      <c r="G76" s="2"/>
      <c r="H76" s="2"/>
      <c r="I76" s="2"/>
      <c r="J76" s="2"/>
      <c r="K76" s="2"/>
      <c r="L76" s="2"/>
      <c r="M76" s="2"/>
      <c r="N76" s="2"/>
      <c r="O76" s="2"/>
      <c r="P76" s="2"/>
      <c r="Q76" s="2"/>
      <c r="R76" s="2"/>
      <c r="S76" s="2"/>
      <c r="T76" s="2"/>
      <c r="U76" s="2"/>
      <c r="V76" s="2"/>
      <c r="W76" s="2"/>
      <c r="X76" s="2"/>
    </row>
    <row r="77" spans="1:24" x14ac:dyDescent="0.4">
      <c r="A77" s="1">
        <v>218</v>
      </c>
      <c r="B77" s="1" t="s">
        <v>217</v>
      </c>
      <c r="C77" s="2" t="s">
        <v>792</v>
      </c>
      <c r="D77" s="2" t="s">
        <v>703</v>
      </c>
      <c r="E77" s="2" t="s">
        <v>649</v>
      </c>
      <c r="F77" s="2"/>
      <c r="G77" s="2"/>
      <c r="H77" s="2"/>
      <c r="I77" s="2"/>
      <c r="J77" s="2"/>
      <c r="K77" s="2"/>
      <c r="L77" s="2"/>
      <c r="M77" s="2"/>
      <c r="N77" s="2"/>
      <c r="O77" s="2"/>
      <c r="P77" s="2"/>
      <c r="Q77" s="2"/>
      <c r="R77" s="2"/>
      <c r="S77" s="2"/>
      <c r="T77" s="2"/>
      <c r="U77" s="2"/>
      <c r="V77" s="2"/>
      <c r="W77" s="2"/>
      <c r="X77" s="2"/>
    </row>
    <row r="78" spans="1:24" x14ac:dyDescent="0.4">
      <c r="A78" s="1">
        <v>226</v>
      </c>
      <c r="B78" s="1" t="s">
        <v>218</v>
      </c>
      <c r="C78" s="2" t="s">
        <v>641</v>
      </c>
      <c r="D78" s="2" t="s">
        <v>642</v>
      </c>
      <c r="E78" s="2" t="s">
        <v>809</v>
      </c>
      <c r="F78" s="2" t="s">
        <v>673</v>
      </c>
      <c r="G78" s="2"/>
      <c r="H78" s="2"/>
      <c r="I78" s="2"/>
      <c r="J78" s="2"/>
      <c r="K78" s="2"/>
      <c r="L78" s="2"/>
      <c r="M78" s="2"/>
      <c r="N78" s="2"/>
      <c r="O78" s="2"/>
      <c r="P78" s="2"/>
      <c r="Q78" s="2"/>
      <c r="R78" s="2"/>
      <c r="S78" s="2"/>
      <c r="T78" s="2"/>
      <c r="U78" s="2"/>
      <c r="V78" s="2"/>
      <c r="W78" s="2"/>
      <c r="X78" s="2"/>
    </row>
    <row r="79" spans="1:24" x14ac:dyDescent="0.4">
      <c r="A79" s="1">
        <v>228</v>
      </c>
      <c r="B79" s="1" t="s">
        <v>225</v>
      </c>
      <c r="C79" s="2" t="s">
        <v>685</v>
      </c>
      <c r="D79" s="2" t="s">
        <v>676</v>
      </c>
      <c r="E79" s="2" t="s">
        <v>785</v>
      </c>
      <c r="F79" s="2" t="s">
        <v>727</v>
      </c>
      <c r="G79" s="2" t="s">
        <v>723</v>
      </c>
      <c r="H79" s="2" t="s">
        <v>810</v>
      </c>
      <c r="I79" s="2" t="s">
        <v>675</v>
      </c>
      <c r="J79" s="2" t="s">
        <v>678</v>
      </c>
      <c r="K79" s="2" t="s">
        <v>703</v>
      </c>
      <c r="L79" s="2"/>
      <c r="M79" s="2"/>
      <c r="N79" s="2"/>
      <c r="O79" s="2"/>
      <c r="P79" s="2"/>
      <c r="Q79" s="2"/>
      <c r="R79" s="2"/>
      <c r="S79" s="2"/>
      <c r="T79" s="2"/>
      <c r="U79" s="2"/>
      <c r="V79" s="2"/>
      <c r="W79" s="2"/>
      <c r="X79" s="2"/>
    </row>
    <row r="80" spans="1:24" x14ac:dyDescent="0.4">
      <c r="A80" s="1">
        <v>229</v>
      </c>
      <c r="B80" s="1" t="s">
        <v>227</v>
      </c>
      <c r="C80" s="2" t="s">
        <v>685</v>
      </c>
      <c r="D80" s="2" t="s">
        <v>713</v>
      </c>
      <c r="E80" s="2" t="s">
        <v>811</v>
      </c>
      <c r="F80" s="2" t="s">
        <v>812</v>
      </c>
      <c r="G80" s="2" t="s">
        <v>723</v>
      </c>
      <c r="H80" s="2"/>
      <c r="I80" s="2"/>
      <c r="J80" s="2"/>
      <c r="K80" s="2"/>
      <c r="L80" s="2"/>
      <c r="M80" s="2"/>
      <c r="N80" s="2"/>
      <c r="O80" s="2"/>
      <c r="P80" s="2"/>
      <c r="Q80" s="2"/>
      <c r="R80" s="2"/>
      <c r="S80" s="2"/>
      <c r="T80" s="2"/>
      <c r="U80" s="2"/>
      <c r="V80" s="2"/>
      <c r="W80" s="2"/>
      <c r="X80" s="2"/>
    </row>
    <row r="81" spans="1:24" x14ac:dyDescent="0.4">
      <c r="A81" s="1">
        <v>232</v>
      </c>
      <c r="B81" s="1" t="s">
        <v>229</v>
      </c>
      <c r="C81" s="2" t="s">
        <v>641</v>
      </c>
      <c r="D81" s="2" t="s">
        <v>642</v>
      </c>
      <c r="E81" s="2" t="s">
        <v>748</v>
      </c>
      <c r="F81" s="2"/>
      <c r="G81" s="2"/>
      <c r="H81" s="2"/>
      <c r="I81" s="2"/>
      <c r="J81" s="2"/>
      <c r="K81" s="2"/>
      <c r="L81" s="2"/>
      <c r="M81" s="2"/>
      <c r="N81" s="2"/>
      <c r="O81" s="2"/>
      <c r="P81" s="2"/>
      <c r="Q81" s="2"/>
      <c r="R81" s="2"/>
      <c r="S81" s="2"/>
      <c r="T81" s="2"/>
      <c r="U81" s="2"/>
      <c r="V81" s="2"/>
      <c r="W81" s="2"/>
      <c r="X81" s="2"/>
    </row>
    <row r="82" spans="1:24" x14ac:dyDescent="0.4">
      <c r="A82" s="1">
        <v>234</v>
      </c>
      <c r="B82" s="1" t="s">
        <v>230</v>
      </c>
      <c r="C82" s="2" t="s">
        <v>685</v>
      </c>
      <c r="D82" s="2" t="s">
        <v>813</v>
      </c>
      <c r="E82" s="2" t="s">
        <v>740</v>
      </c>
      <c r="F82" s="2" t="s">
        <v>814</v>
      </c>
      <c r="G82" s="2" t="s">
        <v>723</v>
      </c>
      <c r="H82" s="2"/>
      <c r="I82" s="2"/>
      <c r="J82" s="2"/>
      <c r="K82" s="2"/>
      <c r="L82" s="2"/>
      <c r="M82" s="2"/>
      <c r="N82" s="2"/>
      <c r="O82" s="2"/>
      <c r="P82" s="2"/>
      <c r="Q82" s="2"/>
      <c r="R82" s="2"/>
      <c r="S82" s="2"/>
      <c r="T82" s="2"/>
      <c r="U82" s="2"/>
      <c r="V82" s="2"/>
      <c r="W82" s="2"/>
      <c r="X82" s="2"/>
    </row>
    <row r="83" spans="1:24" x14ac:dyDescent="0.4">
      <c r="A83" s="1">
        <v>235</v>
      </c>
      <c r="B83" s="1" t="s">
        <v>231</v>
      </c>
      <c r="C83" s="2" t="s">
        <v>815</v>
      </c>
      <c r="D83" s="2" t="s">
        <v>816</v>
      </c>
      <c r="E83" s="2" t="s">
        <v>642</v>
      </c>
      <c r="F83" s="2" t="s">
        <v>747</v>
      </c>
      <c r="G83" s="2"/>
      <c r="H83" s="2"/>
      <c r="I83" s="2"/>
      <c r="J83" s="2"/>
      <c r="K83" s="2"/>
      <c r="L83" s="2"/>
      <c r="M83" s="2"/>
      <c r="N83" s="2"/>
      <c r="O83" s="2"/>
      <c r="P83" s="2"/>
      <c r="Q83" s="2"/>
      <c r="R83" s="2"/>
      <c r="S83" s="2"/>
      <c r="T83" s="2"/>
      <c r="U83" s="2"/>
      <c r="V83" s="2"/>
      <c r="W83" s="2"/>
      <c r="X83" s="2"/>
    </row>
    <row r="84" spans="1:24" x14ac:dyDescent="0.4">
      <c r="A84" s="1">
        <v>237</v>
      </c>
      <c r="B84" s="1" t="s">
        <v>235</v>
      </c>
      <c r="C84" s="2" t="s">
        <v>641</v>
      </c>
      <c r="D84" s="2" t="s">
        <v>642</v>
      </c>
      <c r="E84" s="2" t="s">
        <v>706</v>
      </c>
      <c r="F84" s="2" t="s">
        <v>780</v>
      </c>
      <c r="G84" s="2"/>
      <c r="H84" s="2"/>
      <c r="I84" s="2"/>
      <c r="J84" s="2"/>
      <c r="K84" s="2"/>
      <c r="L84" s="2"/>
      <c r="M84" s="2"/>
      <c r="N84" s="2"/>
      <c r="O84" s="2"/>
      <c r="P84" s="2"/>
      <c r="Q84" s="2"/>
      <c r="R84" s="2"/>
      <c r="S84" s="2"/>
      <c r="T84" s="2"/>
      <c r="U84" s="2"/>
      <c r="V84" s="2"/>
      <c r="W84" s="2"/>
      <c r="X84" s="2"/>
    </row>
    <row r="85" spans="1:24" x14ac:dyDescent="0.4">
      <c r="A85" s="1">
        <v>243</v>
      </c>
      <c r="B85" s="1" t="s">
        <v>238</v>
      </c>
      <c r="C85" s="2" t="s">
        <v>685</v>
      </c>
      <c r="D85" s="2" t="s">
        <v>817</v>
      </c>
      <c r="E85" s="2" t="s">
        <v>818</v>
      </c>
      <c r="F85" s="2" t="s">
        <v>641</v>
      </c>
      <c r="G85" s="2" t="s">
        <v>642</v>
      </c>
      <c r="H85" s="2" t="s">
        <v>819</v>
      </c>
      <c r="I85" s="2" t="s">
        <v>781</v>
      </c>
      <c r="J85" s="2" t="s">
        <v>775</v>
      </c>
      <c r="K85" s="2" t="s">
        <v>820</v>
      </c>
      <c r="L85" s="2" t="s">
        <v>675</v>
      </c>
      <c r="M85" s="2"/>
      <c r="N85" s="2"/>
      <c r="O85" s="2"/>
      <c r="P85" s="2"/>
      <c r="Q85" s="2"/>
      <c r="R85" s="2"/>
      <c r="S85" s="2"/>
      <c r="T85" s="2"/>
      <c r="U85" s="2"/>
      <c r="V85" s="2"/>
      <c r="W85" s="2"/>
      <c r="X85" s="2"/>
    </row>
    <row r="86" spans="1:24" x14ac:dyDescent="0.4">
      <c r="A86" s="1">
        <v>244</v>
      </c>
      <c r="B86" s="1" t="s">
        <v>242</v>
      </c>
      <c r="C86" s="2" t="s">
        <v>802</v>
      </c>
      <c r="D86" s="2" t="s">
        <v>642</v>
      </c>
      <c r="E86" s="2" t="s">
        <v>776</v>
      </c>
      <c r="F86" s="2"/>
      <c r="G86" s="2"/>
      <c r="H86" s="2"/>
      <c r="I86" s="2"/>
      <c r="J86" s="2"/>
      <c r="K86" s="2"/>
      <c r="L86" s="2"/>
      <c r="M86" s="2"/>
      <c r="N86" s="2"/>
      <c r="O86" s="2"/>
      <c r="P86" s="2"/>
      <c r="Q86" s="2"/>
      <c r="R86" s="2"/>
      <c r="S86" s="2"/>
      <c r="T86" s="2"/>
      <c r="U86" s="2"/>
      <c r="V86" s="2"/>
      <c r="W86" s="2"/>
      <c r="X86" s="2"/>
    </row>
    <row r="87" spans="1:24" x14ac:dyDescent="0.4">
      <c r="A87" s="1">
        <v>248</v>
      </c>
      <c r="B87" s="1" t="s">
        <v>245</v>
      </c>
      <c r="C87" s="2" t="s">
        <v>641</v>
      </c>
      <c r="D87" s="2" t="s">
        <v>642</v>
      </c>
      <c r="E87" s="2" t="s">
        <v>706</v>
      </c>
      <c r="F87" s="2" t="s">
        <v>646</v>
      </c>
      <c r="G87" s="2" t="s">
        <v>819</v>
      </c>
      <c r="H87" s="2" t="s">
        <v>648</v>
      </c>
      <c r="I87" s="2" t="s">
        <v>777</v>
      </c>
      <c r="J87" s="2" t="s">
        <v>649</v>
      </c>
      <c r="K87" s="2"/>
      <c r="L87" s="2"/>
      <c r="M87" s="2"/>
      <c r="N87" s="2"/>
      <c r="O87" s="2"/>
      <c r="P87" s="2"/>
      <c r="Q87" s="2"/>
      <c r="R87" s="2"/>
      <c r="S87" s="2"/>
      <c r="T87" s="2"/>
      <c r="U87" s="2"/>
      <c r="V87" s="2"/>
      <c r="W87" s="2"/>
      <c r="X87" s="2"/>
    </row>
    <row r="88" spans="1:24" x14ac:dyDescent="0.4">
      <c r="A88" s="1">
        <v>249</v>
      </c>
      <c r="B88" s="1" t="s">
        <v>247</v>
      </c>
      <c r="C88" s="2" t="s">
        <v>703</v>
      </c>
      <c r="D88" s="2" t="s">
        <v>641</v>
      </c>
      <c r="E88" s="2" t="s">
        <v>666</v>
      </c>
      <c r="F88" s="2" t="s">
        <v>792</v>
      </c>
      <c r="G88" s="2" t="s">
        <v>719</v>
      </c>
      <c r="H88" s="2" t="s">
        <v>819</v>
      </c>
      <c r="I88" s="2" t="s">
        <v>706</v>
      </c>
      <c r="J88" s="2" t="s">
        <v>707</v>
      </c>
      <c r="K88" s="2" t="s">
        <v>649</v>
      </c>
      <c r="L88" s="2"/>
      <c r="M88" s="2"/>
      <c r="N88" s="2"/>
      <c r="O88" s="2"/>
      <c r="P88" s="2"/>
      <c r="Q88" s="2"/>
      <c r="R88" s="2"/>
      <c r="S88" s="2"/>
      <c r="T88" s="2"/>
      <c r="U88" s="2"/>
      <c r="V88" s="2"/>
      <c r="W88" s="2"/>
      <c r="X88" s="2"/>
    </row>
    <row r="89" spans="1:24" x14ac:dyDescent="0.4">
      <c r="A89" s="1">
        <v>253</v>
      </c>
      <c r="B89" s="1" t="s">
        <v>250</v>
      </c>
      <c r="C89" s="2" t="s">
        <v>804</v>
      </c>
      <c r="D89" s="2" t="s">
        <v>802</v>
      </c>
      <c r="E89" s="2" t="s">
        <v>821</v>
      </c>
      <c r="F89" s="2" t="s">
        <v>822</v>
      </c>
      <c r="G89" s="2" t="s">
        <v>703</v>
      </c>
      <c r="H89" s="2" t="s">
        <v>776</v>
      </c>
      <c r="I89" s="2" t="s">
        <v>666</v>
      </c>
      <c r="J89" s="2" t="s">
        <v>823</v>
      </c>
      <c r="K89" s="2" t="s">
        <v>681</v>
      </c>
      <c r="L89" s="2"/>
      <c r="M89" s="2"/>
      <c r="N89" s="2"/>
      <c r="O89" s="2"/>
      <c r="P89" s="2"/>
      <c r="Q89" s="2"/>
      <c r="R89" s="2"/>
      <c r="S89" s="2"/>
      <c r="T89" s="2"/>
      <c r="U89" s="2"/>
      <c r="V89" s="2"/>
      <c r="W89" s="2"/>
      <c r="X89" s="2"/>
    </row>
    <row r="90" spans="1:24" x14ac:dyDescent="0.4">
      <c r="A90" s="1">
        <v>254</v>
      </c>
      <c r="B90" s="1" t="s">
        <v>253</v>
      </c>
      <c r="C90" s="2" t="s">
        <v>792</v>
      </c>
      <c r="D90" s="2" t="s">
        <v>675</v>
      </c>
      <c r="E90" s="2" t="s">
        <v>675</v>
      </c>
      <c r="F90" s="2" t="s">
        <v>824</v>
      </c>
      <c r="G90" s="2" t="s">
        <v>642</v>
      </c>
      <c r="H90" s="2"/>
      <c r="I90" s="2"/>
      <c r="J90" s="2"/>
      <c r="K90" s="2"/>
      <c r="L90" s="2"/>
      <c r="M90" s="2"/>
      <c r="N90" s="2"/>
      <c r="O90" s="2"/>
      <c r="P90" s="2"/>
      <c r="Q90" s="2"/>
      <c r="R90" s="2"/>
      <c r="S90" s="2"/>
      <c r="T90" s="2"/>
      <c r="U90" s="2"/>
      <c r="V90" s="2"/>
      <c r="W90" s="2"/>
      <c r="X90" s="2"/>
    </row>
    <row r="91" spans="1:24" x14ac:dyDescent="0.4">
      <c r="A91" s="1">
        <v>262</v>
      </c>
      <c r="B91" s="1" t="s">
        <v>254</v>
      </c>
      <c r="C91" s="2" t="s">
        <v>685</v>
      </c>
      <c r="D91" s="2" t="s">
        <v>825</v>
      </c>
      <c r="E91" s="2" t="s">
        <v>785</v>
      </c>
      <c r="F91" s="2" t="s">
        <v>689</v>
      </c>
      <c r="G91" s="2" t="s">
        <v>814</v>
      </c>
      <c r="H91" s="2" t="s">
        <v>826</v>
      </c>
      <c r="I91" s="2"/>
      <c r="J91" s="2"/>
      <c r="K91" s="2"/>
      <c r="L91" s="2"/>
      <c r="M91" s="2"/>
      <c r="N91" s="2"/>
      <c r="O91" s="2"/>
      <c r="P91" s="2"/>
      <c r="Q91" s="2"/>
      <c r="R91" s="2"/>
      <c r="S91" s="2"/>
      <c r="T91" s="2"/>
      <c r="U91" s="2"/>
      <c r="V91" s="2"/>
      <c r="W91" s="2"/>
      <c r="X91" s="2"/>
    </row>
    <row r="92" spans="1:24" x14ac:dyDescent="0.4">
      <c r="A92" s="1">
        <v>263</v>
      </c>
      <c r="B92" s="1" t="s">
        <v>258</v>
      </c>
      <c r="C92" s="2" t="s">
        <v>642</v>
      </c>
      <c r="D92" s="2" t="s">
        <v>641</v>
      </c>
      <c r="E92" s="2" t="s">
        <v>649</v>
      </c>
      <c r="F92" s="2" t="s">
        <v>819</v>
      </c>
      <c r="G92" s="2" t="s">
        <v>706</v>
      </c>
      <c r="H92" s="2" t="s">
        <v>666</v>
      </c>
      <c r="I92" s="2" t="s">
        <v>693</v>
      </c>
      <c r="J92" s="2" t="s">
        <v>678</v>
      </c>
      <c r="K92" s="2" t="s">
        <v>653</v>
      </c>
      <c r="L92" s="2" t="s">
        <v>654</v>
      </c>
      <c r="M92" s="2" t="s">
        <v>655</v>
      </c>
      <c r="N92" s="2" t="s">
        <v>671</v>
      </c>
      <c r="O92" s="2" t="s">
        <v>698</v>
      </c>
      <c r="P92" s="2" t="s">
        <v>699</v>
      </c>
      <c r="Q92" s="2" t="s">
        <v>657</v>
      </c>
      <c r="R92" s="2" t="s">
        <v>663</v>
      </c>
      <c r="S92" s="2"/>
      <c r="T92" s="2"/>
      <c r="U92" s="2"/>
      <c r="V92" s="2"/>
      <c r="W92" s="2"/>
      <c r="X92" s="2"/>
    </row>
    <row r="93" spans="1:24" x14ac:dyDescent="0.4">
      <c r="A93" s="1">
        <v>264</v>
      </c>
      <c r="B93" s="1" t="s">
        <v>260</v>
      </c>
      <c r="C93" s="2" t="s">
        <v>642</v>
      </c>
      <c r="D93" s="2" t="s">
        <v>649</v>
      </c>
      <c r="E93" s="2" t="s">
        <v>771</v>
      </c>
      <c r="F93" s="2" t="s">
        <v>641</v>
      </c>
      <c r="G93" s="2" t="s">
        <v>827</v>
      </c>
      <c r="H93" s="2"/>
      <c r="I93" s="2"/>
      <c r="J93" s="2"/>
      <c r="K93" s="2"/>
      <c r="L93" s="2"/>
      <c r="M93" s="2"/>
      <c r="N93" s="2"/>
      <c r="O93" s="2"/>
      <c r="P93" s="2"/>
      <c r="Q93" s="2"/>
      <c r="R93" s="2"/>
      <c r="S93" s="2"/>
      <c r="T93" s="2"/>
      <c r="U93" s="2"/>
      <c r="V93" s="2"/>
      <c r="W93" s="2"/>
      <c r="X93" s="2"/>
    </row>
    <row r="94" spans="1:24" x14ac:dyDescent="0.4">
      <c r="A94" s="1">
        <v>265</v>
      </c>
      <c r="B94" s="1" t="s">
        <v>262</v>
      </c>
      <c r="C94" s="2" t="s">
        <v>685</v>
      </c>
      <c r="D94" s="2" t="s">
        <v>813</v>
      </c>
      <c r="E94" s="2" t="s">
        <v>785</v>
      </c>
      <c r="F94" s="2" t="s">
        <v>828</v>
      </c>
      <c r="G94" s="2" t="s">
        <v>829</v>
      </c>
      <c r="H94" s="2" t="s">
        <v>693</v>
      </c>
      <c r="I94" s="2" t="s">
        <v>724</v>
      </c>
      <c r="J94" s="2"/>
      <c r="K94" s="2"/>
      <c r="L94" s="2"/>
      <c r="M94" s="2"/>
      <c r="N94" s="2"/>
      <c r="O94" s="2"/>
      <c r="P94" s="2"/>
      <c r="Q94" s="2"/>
      <c r="R94" s="2"/>
      <c r="S94" s="2"/>
      <c r="T94" s="2"/>
      <c r="U94" s="2"/>
      <c r="V94" s="2"/>
      <c r="W94" s="2"/>
      <c r="X94" s="2"/>
    </row>
    <row r="95" spans="1:24" x14ac:dyDescent="0.4">
      <c r="A95" s="1">
        <v>282</v>
      </c>
      <c r="B95" s="1" t="s">
        <v>263</v>
      </c>
      <c r="C95" s="2" t="s">
        <v>685</v>
      </c>
      <c r="D95" s="2" t="s">
        <v>669</v>
      </c>
      <c r="E95" s="2" t="s">
        <v>776</v>
      </c>
      <c r="F95" s="2"/>
      <c r="G95" s="2"/>
      <c r="H95" s="2"/>
      <c r="I95" s="2"/>
      <c r="J95" s="2"/>
      <c r="K95" s="2"/>
      <c r="L95" s="2"/>
      <c r="M95" s="2"/>
      <c r="N95" s="2"/>
      <c r="O95" s="2"/>
      <c r="P95" s="2"/>
      <c r="Q95" s="2"/>
      <c r="R95" s="2"/>
      <c r="S95" s="2"/>
      <c r="T95" s="2"/>
      <c r="U95" s="2"/>
      <c r="V95" s="2"/>
      <c r="W95" s="2"/>
      <c r="X95" s="2"/>
    </row>
    <row r="96" spans="1:24" x14ac:dyDescent="0.4">
      <c r="A96" s="1">
        <v>285</v>
      </c>
      <c r="B96" s="1" t="s">
        <v>266</v>
      </c>
      <c r="C96" s="2" t="s">
        <v>649</v>
      </c>
      <c r="D96" s="2" t="s">
        <v>717</v>
      </c>
      <c r="E96" s="2" t="s">
        <v>830</v>
      </c>
      <c r="F96" s="2" t="s">
        <v>650</v>
      </c>
      <c r="G96" s="2" t="s">
        <v>658</v>
      </c>
      <c r="H96" s="2" t="s">
        <v>662</v>
      </c>
      <c r="I96" s="2" t="s">
        <v>651</v>
      </c>
      <c r="J96" s="2" t="s">
        <v>698</v>
      </c>
      <c r="K96" s="2"/>
      <c r="L96" s="2"/>
      <c r="M96" s="2"/>
      <c r="N96" s="2"/>
      <c r="O96" s="2"/>
      <c r="P96" s="2"/>
      <c r="Q96" s="2"/>
      <c r="R96" s="2"/>
      <c r="S96" s="2"/>
      <c r="T96" s="2"/>
      <c r="U96" s="2"/>
      <c r="V96" s="2"/>
      <c r="W96" s="2"/>
      <c r="X96" s="2"/>
    </row>
    <row r="97" spans="1:24" x14ac:dyDescent="0.4">
      <c r="A97" s="1">
        <v>289</v>
      </c>
      <c r="B97" s="1" t="s">
        <v>268</v>
      </c>
      <c r="C97" s="2" t="s">
        <v>776</v>
      </c>
      <c r="D97" s="2" t="s">
        <v>831</v>
      </c>
      <c r="E97" s="2" t="s">
        <v>781</v>
      </c>
      <c r="F97" s="2" t="s">
        <v>832</v>
      </c>
      <c r="G97" s="2" t="s">
        <v>776</v>
      </c>
      <c r="H97" s="2" t="s">
        <v>689</v>
      </c>
      <c r="I97" s="2" t="s">
        <v>785</v>
      </c>
      <c r="J97" s="2"/>
      <c r="K97" s="2"/>
      <c r="L97" s="2"/>
      <c r="M97" s="2"/>
      <c r="N97" s="2"/>
      <c r="O97" s="2"/>
      <c r="P97" s="2"/>
      <c r="Q97" s="2"/>
      <c r="R97" s="2"/>
      <c r="S97" s="2"/>
      <c r="T97" s="2"/>
      <c r="U97" s="2"/>
      <c r="V97" s="2"/>
      <c r="W97" s="2"/>
      <c r="X97" s="2"/>
    </row>
    <row r="98" spans="1:24" x14ac:dyDescent="0.4">
      <c r="A98" s="1">
        <v>290</v>
      </c>
      <c r="B98" s="1" t="s">
        <v>269</v>
      </c>
      <c r="C98" s="2" t="s">
        <v>833</v>
      </c>
      <c r="D98" s="2" t="s">
        <v>834</v>
      </c>
      <c r="E98" s="2" t="s">
        <v>835</v>
      </c>
      <c r="F98" s="2" t="s">
        <v>685</v>
      </c>
      <c r="G98" s="2" t="s">
        <v>666</v>
      </c>
      <c r="H98" s="2" t="s">
        <v>733</v>
      </c>
      <c r="I98" s="2" t="s">
        <v>731</v>
      </c>
      <c r="J98" s="2" t="s">
        <v>836</v>
      </c>
      <c r="K98" s="2" t="s">
        <v>821</v>
      </c>
      <c r="L98" s="2" t="s">
        <v>837</v>
      </c>
      <c r="M98" s="2"/>
      <c r="N98" s="2"/>
      <c r="O98" s="2"/>
      <c r="P98" s="2"/>
      <c r="Q98" s="2"/>
      <c r="R98" s="2"/>
      <c r="S98" s="2"/>
      <c r="T98" s="2"/>
      <c r="U98" s="2"/>
      <c r="V98" s="2"/>
      <c r="W98" s="2"/>
      <c r="X98" s="2"/>
    </row>
    <row r="99" spans="1:24" x14ac:dyDescent="0.4">
      <c r="A99" s="1">
        <v>293</v>
      </c>
      <c r="B99" s="1" t="s">
        <v>270</v>
      </c>
      <c r="C99" s="2" t="s">
        <v>838</v>
      </c>
      <c r="D99" s="2" t="s">
        <v>728</v>
      </c>
      <c r="E99" s="2" t="s">
        <v>839</v>
      </c>
      <c r="F99" s="2"/>
      <c r="G99" s="2"/>
      <c r="H99" s="2"/>
      <c r="I99" s="2"/>
      <c r="J99" s="2"/>
      <c r="K99" s="2"/>
      <c r="L99" s="2"/>
      <c r="M99" s="2"/>
      <c r="N99" s="2"/>
      <c r="O99" s="2"/>
      <c r="P99" s="2"/>
      <c r="Q99" s="2"/>
      <c r="R99" s="2"/>
      <c r="S99" s="2"/>
      <c r="T99" s="2"/>
      <c r="U99" s="2"/>
      <c r="V99" s="2"/>
      <c r="W99" s="2"/>
      <c r="X99" s="2"/>
    </row>
    <row r="100" spans="1:24" x14ac:dyDescent="0.4">
      <c r="A100" s="1">
        <v>301</v>
      </c>
      <c r="B100" s="1" t="s">
        <v>271</v>
      </c>
      <c r="C100" s="2" t="s">
        <v>649</v>
      </c>
      <c r="D100" s="2" t="s">
        <v>792</v>
      </c>
      <c r="E100" s="2" t="s">
        <v>663</v>
      </c>
      <c r="F100" s="2" t="s">
        <v>780</v>
      </c>
      <c r="G100" s="2" t="s">
        <v>719</v>
      </c>
      <c r="H100" s="2" t="s">
        <v>646</v>
      </c>
      <c r="I100" s="2" t="s">
        <v>840</v>
      </c>
      <c r="J100" s="2" t="s">
        <v>706</v>
      </c>
      <c r="K100" s="2" t="s">
        <v>707</v>
      </c>
      <c r="L100" s="2" t="s">
        <v>703</v>
      </c>
      <c r="M100" s="2"/>
      <c r="N100" s="2"/>
      <c r="O100" s="2"/>
      <c r="P100" s="2"/>
      <c r="Q100" s="2"/>
      <c r="R100" s="2"/>
      <c r="S100" s="2"/>
      <c r="T100" s="2"/>
      <c r="U100" s="2"/>
      <c r="V100" s="2"/>
      <c r="W100" s="2"/>
      <c r="X100" s="2"/>
    </row>
    <row r="101" spans="1:24" x14ac:dyDescent="0.4">
      <c r="A101" s="1">
        <v>306</v>
      </c>
      <c r="B101" s="1" t="s">
        <v>274</v>
      </c>
      <c r="C101" s="2" t="s">
        <v>841</v>
      </c>
      <c r="D101" s="2" t="s">
        <v>842</v>
      </c>
      <c r="E101" s="2"/>
      <c r="F101" s="2"/>
      <c r="G101" s="2"/>
      <c r="H101" s="2"/>
      <c r="I101" s="2"/>
      <c r="J101" s="2"/>
      <c r="K101" s="2"/>
      <c r="L101" s="2"/>
      <c r="M101" s="2"/>
      <c r="N101" s="2"/>
      <c r="O101" s="2"/>
      <c r="P101" s="2"/>
      <c r="Q101" s="2"/>
      <c r="R101" s="2"/>
      <c r="S101" s="2"/>
      <c r="T101" s="2"/>
      <c r="U101" s="2"/>
      <c r="V101" s="2"/>
      <c r="W101" s="2"/>
      <c r="X101" s="2"/>
    </row>
    <row r="102" spans="1:24" x14ac:dyDescent="0.4">
      <c r="A102" s="1">
        <v>307</v>
      </c>
      <c r="B102" s="1" t="s">
        <v>279</v>
      </c>
      <c r="C102" s="2" t="s">
        <v>678</v>
      </c>
      <c r="D102" s="2" t="s">
        <v>642</v>
      </c>
      <c r="E102" s="2"/>
      <c r="F102" s="2"/>
      <c r="G102" s="2"/>
      <c r="H102" s="2"/>
      <c r="I102" s="2"/>
      <c r="J102" s="2"/>
      <c r="K102" s="2"/>
      <c r="L102" s="2"/>
      <c r="M102" s="2"/>
      <c r="N102" s="2"/>
      <c r="O102" s="2"/>
      <c r="P102" s="2"/>
      <c r="Q102" s="2"/>
      <c r="R102" s="2"/>
      <c r="S102" s="2"/>
      <c r="T102" s="2"/>
      <c r="U102" s="2"/>
      <c r="V102" s="2"/>
      <c r="W102" s="2"/>
      <c r="X102" s="2"/>
    </row>
    <row r="103" spans="1:24" x14ac:dyDescent="0.4">
      <c r="A103" s="1">
        <v>312</v>
      </c>
      <c r="B103" s="1" t="s">
        <v>283</v>
      </c>
      <c r="C103" s="2" t="s">
        <v>666</v>
      </c>
      <c r="D103" s="2" t="s">
        <v>748</v>
      </c>
      <c r="E103" s="2" t="s">
        <v>703</v>
      </c>
      <c r="F103" s="2" t="s">
        <v>652</v>
      </c>
      <c r="G103" s="2" t="s">
        <v>653</v>
      </c>
      <c r="H103" s="2"/>
      <c r="I103" s="2"/>
      <c r="J103" s="2"/>
      <c r="K103" s="2"/>
      <c r="L103" s="2"/>
      <c r="M103" s="2"/>
      <c r="N103" s="2"/>
      <c r="O103" s="2"/>
      <c r="P103" s="2"/>
      <c r="Q103" s="2"/>
      <c r="R103" s="2"/>
      <c r="S103" s="2"/>
      <c r="T103" s="2"/>
      <c r="U103" s="2"/>
      <c r="V103" s="2"/>
      <c r="W103" s="2"/>
      <c r="X103" s="2"/>
    </row>
    <row r="104" spans="1:24" x14ac:dyDescent="0.4">
      <c r="A104" s="1">
        <v>313</v>
      </c>
      <c r="B104" s="1" t="s">
        <v>286</v>
      </c>
      <c r="C104" s="2" t="s">
        <v>666</v>
      </c>
      <c r="D104" s="2" t="s">
        <v>649</v>
      </c>
      <c r="E104" s="2" t="s">
        <v>642</v>
      </c>
      <c r="F104" s="2" t="s">
        <v>792</v>
      </c>
      <c r="G104" s="2" t="s">
        <v>678</v>
      </c>
      <c r="H104" s="2" t="s">
        <v>681</v>
      </c>
      <c r="I104" s="2" t="s">
        <v>651</v>
      </c>
      <c r="J104" s="2" t="s">
        <v>843</v>
      </c>
      <c r="K104" s="2" t="s">
        <v>844</v>
      </c>
      <c r="L104" s="2" t="s">
        <v>845</v>
      </c>
      <c r="M104" s="2" t="s">
        <v>846</v>
      </c>
      <c r="N104" s="2" t="s">
        <v>670</v>
      </c>
      <c r="O104" s="2" t="s">
        <v>847</v>
      </c>
      <c r="P104" s="2" t="s">
        <v>848</v>
      </c>
      <c r="Q104" s="2"/>
      <c r="R104" s="2"/>
      <c r="S104" s="2"/>
      <c r="T104" s="2"/>
      <c r="U104" s="2"/>
      <c r="V104" s="2"/>
      <c r="W104" s="2"/>
      <c r="X104" s="2"/>
    </row>
    <row r="105" spans="1:24" x14ac:dyDescent="0.4">
      <c r="A105" s="1">
        <v>320</v>
      </c>
      <c r="B105" s="1" t="s">
        <v>288</v>
      </c>
      <c r="C105" s="2" t="s">
        <v>748</v>
      </c>
      <c r="D105" s="2" t="s">
        <v>796</v>
      </c>
      <c r="E105" s="2" t="s">
        <v>641</v>
      </c>
      <c r="F105" s="2" t="s">
        <v>849</v>
      </c>
      <c r="G105" s="2" t="s">
        <v>693</v>
      </c>
      <c r="H105" s="2" t="s">
        <v>706</v>
      </c>
      <c r="I105" s="2" t="s">
        <v>850</v>
      </c>
      <c r="J105" s="2"/>
      <c r="K105" s="2"/>
      <c r="L105" s="2"/>
      <c r="M105" s="2"/>
      <c r="N105" s="2"/>
      <c r="O105" s="2"/>
      <c r="P105" s="2"/>
      <c r="Q105" s="2"/>
      <c r="R105" s="2"/>
      <c r="S105" s="2"/>
      <c r="T105" s="2"/>
      <c r="U105" s="2"/>
      <c r="V105" s="2"/>
      <c r="W105" s="2"/>
      <c r="X105" s="2"/>
    </row>
    <row r="106" spans="1:24" x14ac:dyDescent="0.4">
      <c r="A106" s="1">
        <v>324</v>
      </c>
      <c r="B106" s="1" t="s">
        <v>290</v>
      </c>
      <c r="C106" s="2" t="s">
        <v>703</v>
      </c>
      <c r="D106" s="2" t="s">
        <v>851</v>
      </c>
      <c r="E106" s="2" t="s">
        <v>852</v>
      </c>
      <c r="F106" s="2" t="s">
        <v>853</v>
      </c>
      <c r="G106" s="2" t="s">
        <v>854</v>
      </c>
      <c r="H106" s="2" t="s">
        <v>729</v>
      </c>
      <c r="I106" s="2"/>
      <c r="J106" s="2"/>
      <c r="K106" s="2"/>
      <c r="L106" s="2"/>
      <c r="M106" s="2"/>
      <c r="N106" s="2"/>
      <c r="O106" s="2"/>
      <c r="P106" s="2"/>
      <c r="Q106" s="2"/>
      <c r="R106" s="2"/>
      <c r="S106" s="2"/>
      <c r="T106" s="2"/>
      <c r="U106" s="2"/>
      <c r="V106" s="2"/>
      <c r="W106" s="2"/>
      <c r="X106" s="2"/>
    </row>
    <row r="107" spans="1:24" x14ac:dyDescent="0.4">
      <c r="A107" s="1">
        <v>327</v>
      </c>
      <c r="B107" s="1" t="s">
        <v>293</v>
      </c>
      <c r="C107" s="2" t="s">
        <v>855</v>
      </c>
      <c r="D107" s="2" t="s">
        <v>776</v>
      </c>
      <c r="E107" s="2"/>
      <c r="F107" s="2"/>
      <c r="G107" s="2"/>
      <c r="H107" s="2"/>
      <c r="I107" s="2"/>
      <c r="J107" s="2"/>
      <c r="K107" s="2"/>
      <c r="L107" s="2"/>
      <c r="M107" s="2"/>
      <c r="N107" s="2"/>
      <c r="O107" s="2"/>
      <c r="P107" s="2"/>
      <c r="Q107" s="2"/>
      <c r="R107" s="2"/>
      <c r="S107" s="2"/>
      <c r="T107" s="2"/>
      <c r="U107" s="2"/>
      <c r="V107" s="2"/>
      <c r="W107" s="2"/>
      <c r="X107" s="2"/>
    </row>
    <row r="108" spans="1:24" x14ac:dyDescent="0.4">
      <c r="A108" s="1">
        <v>336</v>
      </c>
      <c r="B108" s="1" t="s">
        <v>295</v>
      </c>
      <c r="C108" s="2" t="s">
        <v>685</v>
      </c>
      <c r="D108" s="2"/>
      <c r="E108" s="2"/>
      <c r="F108" s="2"/>
      <c r="G108" s="2"/>
      <c r="H108" s="2"/>
      <c r="I108" s="2"/>
      <c r="J108" s="2"/>
      <c r="K108" s="2"/>
      <c r="L108" s="2"/>
      <c r="M108" s="2"/>
      <c r="N108" s="2"/>
      <c r="O108" s="2"/>
      <c r="P108" s="2"/>
      <c r="Q108" s="2"/>
      <c r="R108" s="2"/>
      <c r="S108" s="2"/>
      <c r="T108" s="2"/>
      <c r="U108" s="2"/>
      <c r="V108" s="2"/>
      <c r="W108" s="2"/>
      <c r="X108" s="2"/>
    </row>
    <row r="109" spans="1:24" x14ac:dyDescent="0.4">
      <c r="A109" s="1">
        <v>337</v>
      </c>
      <c r="B109" s="1" t="s">
        <v>296</v>
      </c>
      <c r="C109" s="2" t="s">
        <v>685</v>
      </c>
      <c r="D109" s="2" t="s">
        <v>641</v>
      </c>
      <c r="E109" s="2" t="s">
        <v>703</v>
      </c>
      <c r="F109" s="2"/>
      <c r="G109" s="2"/>
      <c r="H109" s="2"/>
      <c r="I109" s="2"/>
      <c r="J109" s="2"/>
      <c r="K109" s="2"/>
      <c r="L109" s="2"/>
      <c r="M109" s="2"/>
      <c r="N109" s="2"/>
      <c r="O109" s="2"/>
      <c r="P109" s="2"/>
      <c r="Q109" s="2"/>
      <c r="R109" s="2"/>
      <c r="S109" s="2"/>
      <c r="T109" s="2"/>
      <c r="U109" s="2"/>
      <c r="V109" s="2"/>
      <c r="W109" s="2"/>
      <c r="X109" s="2"/>
    </row>
    <row r="110" spans="1:24" x14ac:dyDescent="0.4">
      <c r="A110" s="1">
        <v>339</v>
      </c>
      <c r="B110" s="1" t="s">
        <v>299</v>
      </c>
      <c r="C110" s="2" t="s">
        <v>856</v>
      </c>
      <c r="D110" s="2" t="s">
        <v>857</v>
      </c>
      <c r="E110" s="2" t="s">
        <v>641</v>
      </c>
      <c r="F110" s="2" t="s">
        <v>703</v>
      </c>
      <c r="G110" s="2" t="s">
        <v>792</v>
      </c>
      <c r="H110" s="2"/>
      <c r="I110" s="2"/>
      <c r="J110" s="2"/>
      <c r="K110" s="2"/>
      <c r="L110" s="2"/>
      <c r="M110" s="2"/>
      <c r="N110" s="2"/>
      <c r="O110" s="2"/>
      <c r="P110" s="2"/>
      <c r="Q110" s="2"/>
      <c r="R110" s="2"/>
      <c r="S110" s="2"/>
      <c r="T110" s="2"/>
      <c r="U110" s="2"/>
      <c r="V110" s="2"/>
      <c r="W110" s="2"/>
      <c r="X110" s="2"/>
    </row>
    <row r="111" spans="1:24" x14ac:dyDescent="0.4">
      <c r="A111" s="1">
        <v>341</v>
      </c>
      <c r="B111" s="1" t="s">
        <v>304</v>
      </c>
      <c r="C111" s="2" t="s">
        <v>641</v>
      </c>
      <c r="D111" s="2" t="s">
        <v>703</v>
      </c>
      <c r="E111" s="2" t="s">
        <v>823</v>
      </c>
      <c r="F111" s="2" t="s">
        <v>720</v>
      </c>
      <c r="G111" s="2"/>
      <c r="H111" s="2"/>
      <c r="I111" s="2"/>
      <c r="J111" s="2"/>
      <c r="K111" s="2"/>
      <c r="L111" s="2"/>
      <c r="M111" s="2"/>
      <c r="N111" s="2"/>
      <c r="O111" s="2"/>
      <c r="P111" s="2"/>
      <c r="Q111" s="2"/>
      <c r="R111" s="2"/>
      <c r="S111" s="2"/>
      <c r="T111" s="2"/>
      <c r="U111" s="2"/>
      <c r="V111" s="2"/>
      <c r="W111" s="2"/>
      <c r="X111" s="2"/>
    </row>
    <row r="112" spans="1:24" x14ac:dyDescent="0.4">
      <c r="A112" s="1">
        <v>342</v>
      </c>
      <c r="B112" s="1" t="s">
        <v>307</v>
      </c>
      <c r="C112" s="2" t="s">
        <v>685</v>
      </c>
      <c r="D112" s="2" t="s">
        <v>817</v>
      </c>
      <c r="E112" s="2" t="s">
        <v>735</v>
      </c>
      <c r="F112" s="2"/>
      <c r="G112" s="2"/>
      <c r="H112" s="2"/>
      <c r="I112" s="2"/>
      <c r="J112" s="2"/>
      <c r="K112" s="2"/>
      <c r="L112" s="2"/>
      <c r="M112" s="2"/>
      <c r="N112" s="2"/>
      <c r="O112" s="2"/>
      <c r="P112" s="2"/>
      <c r="Q112" s="2"/>
      <c r="R112" s="2"/>
      <c r="S112" s="2"/>
      <c r="T112" s="2"/>
      <c r="U112" s="2"/>
      <c r="V112" s="2"/>
      <c r="W112" s="2"/>
      <c r="X112" s="2"/>
    </row>
    <row r="113" spans="1:24" x14ac:dyDescent="0.4">
      <c r="A113" s="1">
        <v>343</v>
      </c>
      <c r="B113" s="1" t="s">
        <v>308</v>
      </c>
      <c r="C113" s="2" t="s">
        <v>666</v>
      </c>
      <c r="D113" s="2" t="s">
        <v>703</v>
      </c>
      <c r="E113" s="2" t="s">
        <v>646</v>
      </c>
      <c r="F113" s="2" t="s">
        <v>819</v>
      </c>
      <c r="G113" s="2" t="s">
        <v>858</v>
      </c>
      <c r="H113" s="2" t="s">
        <v>675</v>
      </c>
      <c r="I113" s="2" t="s">
        <v>793</v>
      </c>
      <c r="J113" s="2" t="s">
        <v>719</v>
      </c>
      <c r="K113" s="2" t="s">
        <v>645</v>
      </c>
      <c r="L113" s="2"/>
      <c r="M113" s="2"/>
      <c r="N113" s="2"/>
      <c r="O113" s="2"/>
      <c r="P113" s="2"/>
      <c r="Q113" s="2"/>
      <c r="R113" s="2"/>
      <c r="S113" s="2"/>
      <c r="T113" s="2"/>
      <c r="U113" s="2"/>
      <c r="V113" s="2"/>
      <c r="W113" s="2"/>
      <c r="X113" s="2"/>
    </row>
    <row r="114" spans="1:24" x14ac:dyDescent="0.4">
      <c r="A114" s="1">
        <v>347</v>
      </c>
      <c r="B114" s="1" t="s">
        <v>311</v>
      </c>
      <c r="C114" s="2" t="s">
        <v>859</v>
      </c>
      <c r="D114" s="2" t="s">
        <v>860</v>
      </c>
      <c r="E114" s="2" t="s">
        <v>861</v>
      </c>
      <c r="F114" s="2" t="s">
        <v>862</v>
      </c>
      <c r="G114" s="2"/>
      <c r="H114" s="2"/>
      <c r="I114" s="2"/>
      <c r="J114" s="2"/>
      <c r="K114" s="2"/>
      <c r="L114" s="2"/>
      <c r="M114" s="2"/>
      <c r="N114" s="2"/>
      <c r="O114" s="2"/>
      <c r="P114" s="2"/>
      <c r="Q114" s="2"/>
      <c r="R114" s="2"/>
      <c r="S114" s="2"/>
      <c r="T114" s="2"/>
      <c r="U114" s="2"/>
      <c r="V114" s="2"/>
      <c r="W114" s="2"/>
      <c r="X114" s="2"/>
    </row>
    <row r="115" spans="1:24" x14ac:dyDescent="0.4">
      <c r="A115" s="1">
        <v>353</v>
      </c>
      <c r="B115" s="1" t="s">
        <v>314</v>
      </c>
      <c r="C115" s="2" t="s">
        <v>641</v>
      </c>
      <c r="D115" s="2" t="s">
        <v>703</v>
      </c>
      <c r="E115" s="2" t="s">
        <v>721</v>
      </c>
      <c r="F115" s="2" t="s">
        <v>863</v>
      </c>
      <c r="G115" s="2" t="s">
        <v>862</v>
      </c>
      <c r="H115" s="2"/>
      <c r="I115" s="2"/>
      <c r="J115" s="2"/>
      <c r="K115" s="2"/>
      <c r="L115" s="2"/>
      <c r="M115" s="2"/>
      <c r="N115" s="2"/>
      <c r="O115" s="2"/>
      <c r="P115" s="2"/>
      <c r="Q115" s="2"/>
      <c r="R115" s="2"/>
      <c r="S115" s="2"/>
      <c r="T115" s="2"/>
      <c r="U115" s="2"/>
      <c r="V115" s="2"/>
      <c r="W115" s="2"/>
      <c r="X115" s="2"/>
    </row>
    <row r="116" spans="1:24" x14ac:dyDescent="0.4">
      <c r="A116" s="1">
        <v>354</v>
      </c>
      <c r="B116" s="1" t="s">
        <v>315</v>
      </c>
      <c r="C116" s="2" t="s">
        <v>864</v>
      </c>
      <c r="D116" s="2" t="s">
        <v>865</v>
      </c>
      <c r="E116" s="2"/>
      <c r="F116" s="2"/>
      <c r="G116" s="2"/>
      <c r="H116" s="2"/>
      <c r="I116" s="2"/>
      <c r="J116" s="2"/>
      <c r="K116" s="2"/>
      <c r="L116" s="2"/>
      <c r="M116" s="2"/>
      <c r="N116" s="2"/>
      <c r="O116" s="2"/>
      <c r="P116" s="2"/>
      <c r="Q116" s="2"/>
      <c r="R116" s="2"/>
      <c r="S116" s="2"/>
      <c r="T116" s="2"/>
      <c r="U116" s="2"/>
      <c r="V116" s="2"/>
      <c r="W116" s="2"/>
      <c r="X116" s="2"/>
    </row>
    <row r="117" spans="1:24" x14ac:dyDescent="0.4">
      <c r="A117" s="1">
        <v>358</v>
      </c>
      <c r="B117" s="1" t="s">
        <v>318</v>
      </c>
      <c r="C117" s="2" t="s">
        <v>641</v>
      </c>
      <c r="D117" s="2" t="s">
        <v>693</v>
      </c>
      <c r="E117" s="2" t="s">
        <v>642</v>
      </c>
      <c r="F117" s="2" t="s">
        <v>666</v>
      </c>
      <c r="G117" s="2" t="s">
        <v>771</v>
      </c>
      <c r="H117" s="2"/>
      <c r="I117" s="2"/>
      <c r="J117" s="2"/>
      <c r="K117" s="2"/>
      <c r="L117" s="2"/>
      <c r="M117" s="2"/>
      <c r="N117" s="2"/>
      <c r="O117" s="2"/>
      <c r="P117" s="2"/>
      <c r="Q117" s="2"/>
      <c r="R117" s="2"/>
      <c r="S117" s="2"/>
      <c r="T117" s="2"/>
      <c r="U117" s="2"/>
      <c r="V117" s="2"/>
      <c r="W117" s="2"/>
      <c r="X117" s="2"/>
    </row>
    <row r="118" spans="1:24" x14ac:dyDescent="0.4">
      <c r="A118" s="1">
        <v>359</v>
      </c>
      <c r="B118" s="1" t="s">
        <v>320</v>
      </c>
      <c r="C118" s="2" t="s">
        <v>768</v>
      </c>
      <c r="D118" s="2" t="s">
        <v>706</v>
      </c>
      <c r="E118" s="2" t="s">
        <v>645</v>
      </c>
      <c r="F118" s="2" t="s">
        <v>664</v>
      </c>
      <c r="G118" s="2"/>
      <c r="H118" s="2"/>
      <c r="I118" s="2"/>
      <c r="J118" s="2"/>
      <c r="K118" s="2"/>
      <c r="L118" s="2"/>
      <c r="M118" s="2"/>
      <c r="N118" s="2"/>
      <c r="O118" s="2"/>
      <c r="P118" s="2"/>
      <c r="Q118" s="2"/>
      <c r="R118" s="2"/>
      <c r="S118" s="2"/>
      <c r="T118" s="2"/>
      <c r="U118" s="2"/>
      <c r="V118" s="2"/>
      <c r="W118" s="2"/>
      <c r="X118" s="2"/>
    </row>
    <row r="119" spans="1:24" x14ac:dyDescent="0.4">
      <c r="A119" s="1">
        <v>368</v>
      </c>
      <c r="B119" s="1" t="s">
        <v>322</v>
      </c>
      <c r="C119" s="2" t="s">
        <v>866</v>
      </c>
      <c r="D119" s="2" t="s">
        <v>645</v>
      </c>
      <c r="E119" s="2" t="s">
        <v>867</v>
      </c>
      <c r="F119" s="2" t="s">
        <v>868</v>
      </c>
      <c r="G119" s="2"/>
      <c r="H119" s="2"/>
      <c r="I119" s="2"/>
      <c r="J119" s="2"/>
      <c r="K119" s="2"/>
      <c r="L119" s="2"/>
      <c r="M119" s="2"/>
      <c r="N119" s="2"/>
      <c r="O119" s="2"/>
      <c r="P119" s="2"/>
      <c r="Q119" s="2"/>
      <c r="R119" s="2"/>
      <c r="S119" s="2"/>
      <c r="T119" s="2"/>
      <c r="U119" s="2"/>
      <c r="V119" s="2"/>
      <c r="W119" s="2"/>
      <c r="X119" s="2"/>
    </row>
    <row r="120" spans="1:24" x14ac:dyDescent="0.4">
      <c r="A120" s="1">
        <v>369</v>
      </c>
      <c r="B120" s="1" t="s">
        <v>324</v>
      </c>
      <c r="C120" s="2" t="s">
        <v>869</v>
      </c>
      <c r="D120" s="2"/>
      <c r="E120" s="2"/>
      <c r="F120" s="2"/>
      <c r="G120" s="2"/>
      <c r="H120" s="2"/>
      <c r="I120" s="2"/>
      <c r="J120" s="2"/>
      <c r="K120" s="2"/>
      <c r="L120" s="2"/>
      <c r="M120" s="2"/>
      <c r="N120" s="2"/>
      <c r="O120" s="2"/>
      <c r="P120" s="2"/>
      <c r="Q120" s="2"/>
      <c r="R120" s="2"/>
      <c r="S120" s="2"/>
      <c r="T120" s="2"/>
      <c r="U120" s="2"/>
      <c r="V120" s="2"/>
      <c r="W120" s="2"/>
      <c r="X120" s="2"/>
    </row>
    <row r="121" spans="1:24" x14ac:dyDescent="0.4">
      <c r="A121" s="1">
        <v>371</v>
      </c>
      <c r="B121" s="1" t="s">
        <v>328</v>
      </c>
      <c r="C121" s="2" t="s">
        <v>685</v>
      </c>
      <c r="D121" s="2" t="s">
        <v>676</v>
      </c>
      <c r="E121" s="2" t="s">
        <v>870</v>
      </c>
      <c r="F121" s="2" t="s">
        <v>871</v>
      </c>
      <c r="G121" s="2" t="s">
        <v>872</v>
      </c>
      <c r="H121" s="2" t="s">
        <v>666</v>
      </c>
      <c r="I121" s="2" t="s">
        <v>873</v>
      </c>
      <c r="J121" s="2"/>
      <c r="K121" s="2"/>
      <c r="L121" s="2"/>
      <c r="M121" s="2"/>
      <c r="N121" s="2"/>
      <c r="O121" s="2"/>
      <c r="P121" s="2"/>
      <c r="Q121" s="2"/>
      <c r="R121" s="2"/>
      <c r="S121" s="2"/>
      <c r="T121" s="2"/>
      <c r="U121" s="2"/>
      <c r="V121" s="2"/>
      <c r="W121" s="2"/>
      <c r="X121" s="2"/>
    </row>
    <row r="122" spans="1:24" x14ac:dyDescent="0.4">
      <c r="A122" s="1">
        <v>373</v>
      </c>
      <c r="B122" s="1" t="s">
        <v>329</v>
      </c>
      <c r="C122" s="2" t="s">
        <v>685</v>
      </c>
      <c r="D122" s="2" t="s">
        <v>825</v>
      </c>
      <c r="E122" s="2" t="s">
        <v>669</v>
      </c>
      <c r="F122" s="2"/>
      <c r="G122" s="2"/>
      <c r="H122" s="2" t="s">
        <v>874</v>
      </c>
      <c r="I122" s="2"/>
      <c r="J122" s="2"/>
      <c r="K122" s="2"/>
      <c r="L122" s="2"/>
      <c r="M122" s="2"/>
      <c r="N122" s="2"/>
      <c r="O122" s="2"/>
      <c r="P122" s="2"/>
      <c r="Q122" s="2"/>
      <c r="R122" s="2"/>
      <c r="S122" s="2"/>
      <c r="T122" s="2"/>
      <c r="U122" s="2"/>
      <c r="V122" s="2"/>
      <c r="W122" s="2"/>
      <c r="X122" s="2"/>
    </row>
    <row r="123" spans="1:24" x14ac:dyDescent="0.4">
      <c r="A123" s="1">
        <v>376</v>
      </c>
      <c r="B123" s="1" t="s">
        <v>331</v>
      </c>
      <c r="C123" s="2" t="s">
        <v>875</v>
      </c>
      <c r="D123" s="2" t="s">
        <v>747</v>
      </c>
      <c r="E123" s="2" t="s">
        <v>641</v>
      </c>
      <c r="F123" s="2" t="s">
        <v>876</v>
      </c>
      <c r="G123" s="2" t="s">
        <v>642</v>
      </c>
      <c r="H123" s="2" t="s">
        <v>877</v>
      </c>
      <c r="I123" s="2"/>
      <c r="J123" s="2"/>
      <c r="K123" s="2"/>
      <c r="L123" s="2"/>
      <c r="M123" s="2"/>
      <c r="N123" s="2"/>
      <c r="O123" s="2"/>
      <c r="P123" s="2"/>
      <c r="Q123" s="2"/>
      <c r="R123" s="2"/>
      <c r="S123" s="2"/>
      <c r="T123" s="2"/>
      <c r="U123" s="2"/>
      <c r="V123" s="2"/>
      <c r="W123" s="2"/>
      <c r="X123" s="2"/>
    </row>
    <row r="124" spans="1:24" x14ac:dyDescent="0.4">
      <c r="A124" s="1">
        <v>377</v>
      </c>
      <c r="B124" s="1" t="s">
        <v>333</v>
      </c>
      <c r="C124" s="2" t="s">
        <v>685</v>
      </c>
      <c r="D124" s="2" t="s">
        <v>878</v>
      </c>
      <c r="E124" s="2" t="s">
        <v>785</v>
      </c>
      <c r="F124" s="2" t="s">
        <v>689</v>
      </c>
      <c r="G124" s="2" t="s">
        <v>814</v>
      </c>
      <c r="H124" s="2" t="s">
        <v>879</v>
      </c>
      <c r="I124" s="2" t="s">
        <v>880</v>
      </c>
      <c r="J124" s="2"/>
      <c r="K124" s="2"/>
      <c r="L124" s="2"/>
      <c r="M124" s="2"/>
      <c r="N124" s="2"/>
      <c r="O124" s="2"/>
      <c r="P124" s="2"/>
      <c r="Q124" s="2"/>
      <c r="R124" s="2"/>
      <c r="S124" s="2"/>
      <c r="T124" s="2"/>
      <c r="U124" s="2"/>
      <c r="V124" s="2"/>
      <c r="W124" s="2"/>
      <c r="X124" s="2"/>
    </row>
    <row r="125" spans="1:24" x14ac:dyDescent="0.4">
      <c r="A125" s="1">
        <v>378</v>
      </c>
      <c r="B125" s="1" t="s">
        <v>336</v>
      </c>
      <c r="C125" s="2" t="s">
        <v>804</v>
      </c>
      <c r="D125" s="2" t="s">
        <v>703</v>
      </c>
      <c r="E125" s="2" t="s">
        <v>685</v>
      </c>
      <c r="F125" s="2" t="s">
        <v>802</v>
      </c>
      <c r="G125" s="2"/>
      <c r="H125" s="2"/>
      <c r="I125" s="2"/>
      <c r="J125" s="2"/>
      <c r="K125" s="2"/>
      <c r="L125" s="2"/>
      <c r="M125" s="2"/>
      <c r="N125" s="2"/>
      <c r="O125" s="2"/>
      <c r="P125" s="2"/>
      <c r="Q125" s="2"/>
      <c r="R125" s="2"/>
      <c r="S125" s="2"/>
      <c r="T125" s="2"/>
      <c r="U125" s="2"/>
      <c r="V125" s="2"/>
      <c r="W125" s="2"/>
      <c r="X125" s="2"/>
    </row>
    <row r="126" spans="1:24" x14ac:dyDescent="0.4">
      <c r="A126" s="1">
        <v>379</v>
      </c>
      <c r="B126" s="1" t="s">
        <v>338</v>
      </c>
      <c r="C126" s="2" t="s">
        <v>675</v>
      </c>
      <c r="D126" s="2" t="s">
        <v>649</v>
      </c>
      <c r="E126" s="2"/>
      <c r="F126" s="2"/>
      <c r="G126" s="2"/>
      <c r="H126" s="2"/>
      <c r="I126" s="2"/>
      <c r="J126" s="2"/>
      <c r="K126" s="2"/>
      <c r="L126" s="2"/>
      <c r="M126" s="2"/>
      <c r="N126" s="2"/>
      <c r="O126" s="2"/>
      <c r="P126" s="2"/>
      <c r="Q126" s="2"/>
      <c r="R126" s="2"/>
      <c r="S126" s="2"/>
      <c r="T126" s="2"/>
      <c r="U126" s="2"/>
      <c r="V126" s="2"/>
      <c r="W126" s="2"/>
      <c r="X126" s="2"/>
    </row>
    <row r="127" spans="1:24" x14ac:dyDescent="0.4">
      <c r="A127" s="1">
        <v>380</v>
      </c>
      <c r="B127" s="1" t="s">
        <v>339</v>
      </c>
      <c r="C127" s="2" t="s">
        <v>881</v>
      </c>
      <c r="D127" s="2" t="s">
        <v>739</v>
      </c>
      <c r="E127" s="2"/>
      <c r="F127" s="2"/>
      <c r="G127" s="2"/>
      <c r="H127" s="2"/>
      <c r="I127" s="2"/>
      <c r="J127" s="2"/>
      <c r="K127" s="2"/>
      <c r="L127" s="2"/>
      <c r="M127" s="2"/>
      <c r="N127" s="2"/>
      <c r="O127" s="2"/>
      <c r="P127" s="2"/>
      <c r="Q127" s="2"/>
      <c r="R127" s="2"/>
      <c r="S127" s="2"/>
      <c r="T127" s="2"/>
      <c r="U127" s="2"/>
      <c r="V127" s="2"/>
      <c r="W127" s="2"/>
      <c r="X127" s="2"/>
    </row>
    <row r="128" spans="1:24" x14ac:dyDescent="0.4">
      <c r="A128" s="1">
        <v>383</v>
      </c>
      <c r="B128" s="1" t="s">
        <v>341</v>
      </c>
      <c r="C128" s="2" t="s">
        <v>681</v>
      </c>
      <c r="D128" s="2" t="s">
        <v>703</v>
      </c>
      <c r="E128" s="2" t="s">
        <v>716</v>
      </c>
      <c r="F128" s="2" t="s">
        <v>882</v>
      </c>
      <c r="G128" s="2" t="s">
        <v>655</v>
      </c>
      <c r="H128" s="2"/>
      <c r="I128" s="2"/>
      <c r="J128" s="2"/>
      <c r="K128" s="2"/>
      <c r="L128" s="2"/>
      <c r="M128" s="2"/>
      <c r="N128" s="2"/>
      <c r="O128" s="2"/>
      <c r="P128" s="2"/>
      <c r="Q128" s="2"/>
      <c r="R128" s="2"/>
      <c r="S128" s="2"/>
      <c r="T128" s="2"/>
      <c r="U128" s="2"/>
      <c r="V128" s="2"/>
      <c r="W128" s="2"/>
      <c r="X128" s="2"/>
    </row>
    <row r="129" spans="1:24" x14ac:dyDescent="0.4">
      <c r="A129" s="1">
        <v>384</v>
      </c>
      <c r="B129" s="1" t="s">
        <v>343</v>
      </c>
      <c r="C129" s="2" t="s">
        <v>773</v>
      </c>
      <c r="D129" s="2" t="s">
        <v>641</v>
      </c>
      <c r="E129" s="2" t="s">
        <v>703</v>
      </c>
      <c r="F129" s="2"/>
      <c r="G129" s="2"/>
      <c r="H129" s="2"/>
      <c r="I129" s="2"/>
      <c r="J129" s="2"/>
      <c r="K129" s="2"/>
      <c r="L129" s="2"/>
      <c r="M129" s="2"/>
      <c r="N129" s="2"/>
      <c r="O129" s="2"/>
      <c r="P129" s="2"/>
      <c r="Q129" s="2"/>
      <c r="R129" s="2"/>
      <c r="S129" s="2"/>
      <c r="T129" s="2"/>
      <c r="U129" s="2"/>
      <c r="V129" s="2"/>
      <c r="W129" s="2"/>
      <c r="X129" s="2"/>
    </row>
    <row r="130" spans="1:24" x14ac:dyDescent="0.4">
      <c r="A130" s="1">
        <v>389</v>
      </c>
      <c r="B130" s="1" t="s">
        <v>345</v>
      </c>
      <c r="C130" s="2" t="s">
        <v>748</v>
      </c>
      <c r="D130" s="2" t="s">
        <v>641</v>
      </c>
      <c r="E130" s="2"/>
      <c r="F130" s="2"/>
      <c r="G130" s="2"/>
      <c r="H130" s="2"/>
      <c r="I130" s="2"/>
      <c r="J130" s="2"/>
      <c r="K130" s="2"/>
      <c r="L130" s="2"/>
      <c r="M130" s="2"/>
      <c r="N130" s="2"/>
      <c r="O130" s="2"/>
      <c r="P130" s="2"/>
      <c r="Q130" s="2"/>
      <c r="R130" s="2"/>
      <c r="S130" s="2"/>
      <c r="T130" s="2"/>
      <c r="U130" s="2"/>
      <c r="V130" s="2"/>
      <c r="W130" s="2"/>
      <c r="X130" s="2"/>
    </row>
    <row r="131" spans="1:24" x14ac:dyDescent="0.4">
      <c r="A131" s="1">
        <v>394</v>
      </c>
      <c r="B131" s="1" t="s">
        <v>346</v>
      </c>
      <c r="C131" s="2" t="s">
        <v>641</v>
      </c>
      <c r="D131" s="2" t="s">
        <v>642</v>
      </c>
      <c r="E131" s="2" t="s">
        <v>883</v>
      </c>
      <c r="F131" s="2"/>
      <c r="G131" s="2"/>
      <c r="H131" s="2"/>
      <c r="I131" s="2"/>
      <c r="J131" s="2"/>
      <c r="K131" s="2"/>
      <c r="L131" s="2"/>
      <c r="M131" s="2"/>
      <c r="N131" s="2"/>
      <c r="O131" s="2"/>
      <c r="P131" s="2"/>
      <c r="Q131" s="2"/>
      <c r="R131" s="2"/>
      <c r="S131" s="2"/>
      <c r="T131" s="2"/>
      <c r="U131" s="2"/>
      <c r="V131" s="2"/>
      <c r="W131" s="2"/>
      <c r="X131" s="2"/>
    </row>
    <row r="132" spans="1:24" x14ac:dyDescent="0.4">
      <c r="A132" s="1">
        <v>396</v>
      </c>
      <c r="B132" s="1" t="s">
        <v>347</v>
      </c>
      <c r="C132" s="2" t="s">
        <v>873</v>
      </c>
      <c r="D132" s="2" t="s">
        <v>884</v>
      </c>
      <c r="E132" s="2"/>
      <c r="F132" s="2"/>
      <c r="G132" s="2"/>
      <c r="H132" s="2"/>
      <c r="I132" s="2"/>
      <c r="J132" s="2"/>
      <c r="K132" s="2"/>
      <c r="L132" s="2"/>
      <c r="M132" s="2"/>
      <c r="N132" s="2"/>
      <c r="O132" s="2"/>
      <c r="P132" s="2"/>
      <c r="Q132" s="2"/>
      <c r="R132" s="2"/>
      <c r="S132" s="2"/>
      <c r="T132" s="2"/>
      <c r="U132" s="2"/>
      <c r="V132" s="2"/>
      <c r="W132" s="2"/>
      <c r="X132" s="2"/>
    </row>
    <row r="133" spans="1:24" x14ac:dyDescent="0.4">
      <c r="A133" s="1">
        <v>397</v>
      </c>
      <c r="B133" s="1" t="s">
        <v>349</v>
      </c>
      <c r="C133" s="2" t="s">
        <v>792</v>
      </c>
      <c r="D133" s="2" t="s">
        <v>824</v>
      </c>
      <c r="E133" s="2"/>
      <c r="F133" s="2"/>
      <c r="G133" s="2"/>
      <c r="H133" s="2"/>
      <c r="I133" s="2"/>
      <c r="J133" s="2"/>
      <c r="K133" s="2"/>
      <c r="L133" s="2"/>
      <c r="M133" s="2"/>
      <c r="N133" s="2"/>
      <c r="O133" s="2"/>
      <c r="P133" s="2"/>
      <c r="Q133" s="2"/>
      <c r="R133" s="2"/>
      <c r="S133" s="2"/>
      <c r="T133" s="2"/>
      <c r="U133" s="2"/>
      <c r="V133" s="2"/>
      <c r="W133" s="2"/>
      <c r="X133" s="2"/>
    </row>
    <row r="134" spans="1:24" x14ac:dyDescent="0.4">
      <c r="A134" s="1">
        <v>400</v>
      </c>
      <c r="B134" s="1" t="s">
        <v>350</v>
      </c>
      <c r="C134" s="2" t="s">
        <v>885</v>
      </c>
      <c r="D134" s="2"/>
      <c r="E134" s="2"/>
      <c r="F134" s="2"/>
      <c r="G134" s="2"/>
      <c r="H134" s="2"/>
      <c r="I134" s="2"/>
      <c r="J134" s="2"/>
      <c r="K134" s="2"/>
      <c r="L134" s="2"/>
      <c r="M134" s="2"/>
      <c r="N134" s="2"/>
      <c r="O134" s="2"/>
      <c r="P134" s="2"/>
      <c r="Q134" s="2"/>
      <c r="R134" s="2"/>
      <c r="S134" s="2"/>
      <c r="T134" s="2"/>
      <c r="U134" s="2"/>
      <c r="V134" s="2"/>
      <c r="W134" s="2"/>
      <c r="X134" s="2"/>
    </row>
    <row r="135" spans="1:24" x14ac:dyDescent="0.4">
      <c r="A135" s="1">
        <v>403</v>
      </c>
      <c r="B135" s="1" t="s">
        <v>354</v>
      </c>
      <c r="C135" s="2" t="s">
        <v>649</v>
      </c>
      <c r="D135" s="2" t="s">
        <v>642</v>
      </c>
      <c r="E135" s="2" t="s">
        <v>666</v>
      </c>
      <c r="F135" s="2" t="s">
        <v>886</v>
      </c>
      <c r="G135" s="2" t="s">
        <v>641</v>
      </c>
      <c r="H135" s="2" t="s">
        <v>695</v>
      </c>
      <c r="I135" s="2" t="s">
        <v>720</v>
      </c>
      <c r="J135" s="2"/>
      <c r="K135" s="2"/>
      <c r="L135" s="2"/>
      <c r="M135" s="2"/>
      <c r="N135" s="2"/>
      <c r="O135" s="2"/>
      <c r="P135" s="2"/>
      <c r="Q135" s="2"/>
      <c r="R135" s="2"/>
      <c r="S135" s="2"/>
      <c r="T135" s="2"/>
      <c r="U135" s="2"/>
      <c r="V135" s="2"/>
      <c r="W135" s="2"/>
      <c r="X135" s="2"/>
    </row>
    <row r="136" spans="1:24" x14ac:dyDescent="0.4">
      <c r="A136" s="1">
        <v>408</v>
      </c>
      <c r="B136" s="1" t="s">
        <v>356</v>
      </c>
      <c r="C136" s="2" t="s">
        <v>887</v>
      </c>
      <c r="D136" s="2" t="s">
        <v>706</v>
      </c>
      <c r="E136" s="2" t="s">
        <v>888</v>
      </c>
      <c r="F136" s="2"/>
      <c r="G136" s="2"/>
      <c r="H136" s="2"/>
      <c r="I136" s="2"/>
      <c r="J136" s="2"/>
      <c r="K136" s="2"/>
      <c r="L136" s="2"/>
      <c r="M136" s="2"/>
      <c r="N136" s="2"/>
      <c r="O136" s="2"/>
      <c r="P136" s="2"/>
      <c r="Q136" s="2"/>
      <c r="R136" s="2"/>
      <c r="S136" s="2"/>
      <c r="T136" s="2"/>
      <c r="U136" s="2"/>
      <c r="V136" s="2"/>
      <c r="W136" s="2"/>
      <c r="X136" s="2"/>
    </row>
    <row r="137" spans="1:24" x14ac:dyDescent="0.4">
      <c r="A137" s="1">
        <v>411</v>
      </c>
      <c r="B137" s="1" t="s">
        <v>357</v>
      </c>
      <c r="C137" s="2" t="s">
        <v>685</v>
      </c>
      <c r="D137" s="2" t="s">
        <v>889</v>
      </c>
      <c r="E137" s="2" t="s">
        <v>890</v>
      </c>
      <c r="F137" s="2"/>
      <c r="G137" s="2"/>
      <c r="H137" s="2" t="s">
        <v>776</v>
      </c>
      <c r="I137" s="2" t="s">
        <v>889</v>
      </c>
      <c r="J137" s="2" t="s">
        <v>890</v>
      </c>
      <c r="K137" s="2"/>
      <c r="L137" s="2"/>
      <c r="M137" s="2"/>
      <c r="N137" s="2"/>
      <c r="O137" s="2"/>
      <c r="P137" s="2"/>
      <c r="Q137" s="2"/>
      <c r="R137" s="2"/>
      <c r="S137" s="2"/>
      <c r="T137" s="2"/>
      <c r="U137" s="2"/>
      <c r="V137" s="2"/>
      <c r="W137" s="2"/>
      <c r="X137" s="2"/>
    </row>
    <row r="138" spans="1:24" x14ac:dyDescent="0.4">
      <c r="A138" s="1">
        <v>412</v>
      </c>
      <c r="B138" s="1" t="s">
        <v>358</v>
      </c>
      <c r="C138" s="2" t="s">
        <v>641</v>
      </c>
      <c r="D138" s="2" t="s">
        <v>642</v>
      </c>
      <c r="E138" s="2" t="s">
        <v>649</v>
      </c>
      <c r="F138" s="2" t="s">
        <v>819</v>
      </c>
      <c r="G138" s="2" t="s">
        <v>706</v>
      </c>
      <c r="H138" s="2" t="s">
        <v>792</v>
      </c>
      <c r="I138" s="2" t="s">
        <v>648</v>
      </c>
      <c r="J138" s="2" t="s">
        <v>891</v>
      </c>
      <c r="K138" s="2" t="s">
        <v>892</v>
      </c>
      <c r="L138" s="2" t="s">
        <v>893</v>
      </c>
      <c r="M138" s="2" t="s">
        <v>894</v>
      </c>
      <c r="N138" s="2" t="s">
        <v>895</v>
      </c>
      <c r="O138" s="2"/>
      <c r="P138" s="2"/>
      <c r="Q138" s="2"/>
      <c r="R138" s="2"/>
      <c r="S138" s="2"/>
      <c r="T138" s="2"/>
      <c r="U138" s="2"/>
      <c r="V138" s="2"/>
      <c r="W138" s="2"/>
      <c r="X138" s="2"/>
    </row>
    <row r="139" spans="1:24" x14ac:dyDescent="0.4">
      <c r="A139" s="1">
        <v>420</v>
      </c>
      <c r="B139" s="1" t="s">
        <v>360</v>
      </c>
      <c r="C139" s="2" t="s">
        <v>804</v>
      </c>
      <c r="D139" s="2" t="s">
        <v>694</v>
      </c>
      <c r="E139" s="2" t="s">
        <v>821</v>
      </c>
      <c r="F139" s="2"/>
      <c r="G139" s="2"/>
      <c r="H139" s="2"/>
      <c r="I139" s="2"/>
      <c r="J139" s="2"/>
      <c r="K139" s="2"/>
      <c r="L139" s="2"/>
      <c r="M139" s="2"/>
      <c r="N139" s="2"/>
      <c r="O139" s="2"/>
      <c r="P139" s="2"/>
      <c r="Q139" s="2"/>
      <c r="R139" s="2"/>
      <c r="S139" s="2"/>
      <c r="T139" s="2"/>
      <c r="U139" s="2"/>
      <c r="V139" s="2"/>
      <c r="W139" s="2"/>
      <c r="X139" s="2"/>
    </row>
    <row r="140" spans="1:24" x14ac:dyDescent="0.4">
      <c r="A140" s="1">
        <v>421</v>
      </c>
      <c r="B140" s="1" t="s">
        <v>363</v>
      </c>
      <c r="C140" s="2" t="s">
        <v>642</v>
      </c>
      <c r="D140" s="2" t="s">
        <v>649</v>
      </c>
      <c r="E140" s="2" t="s">
        <v>675</v>
      </c>
      <c r="F140" s="2" t="s">
        <v>650</v>
      </c>
      <c r="G140" s="2"/>
      <c r="H140" s="2"/>
      <c r="I140" s="2"/>
      <c r="J140" s="2"/>
      <c r="K140" s="2"/>
      <c r="L140" s="2"/>
      <c r="M140" s="2"/>
      <c r="N140" s="2"/>
      <c r="O140" s="2"/>
      <c r="P140" s="2"/>
      <c r="Q140" s="2"/>
      <c r="R140" s="2"/>
      <c r="S140" s="2"/>
      <c r="T140" s="2"/>
      <c r="U140" s="2"/>
      <c r="V140" s="2"/>
      <c r="W140" s="2"/>
      <c r="X140" s="2"/>
    </row>
    <row r="141" spans="1:24" x14ac:dyDescent="0.4">
      <c r="A141" s="1">
        <v>422</v>
      </c>
      <c r="B141" s="1" t="s">
        <v>364</v>
      </c>
      <c r="C141" s="2" t="s">
        <v>821</v>
      </c>
      <c r="D141" s="2" t="s">
        <v>641</v>
      </c>
      <c r="E141" s="2" t="s">
        <v>642</v>
      </c>
      <c r="F141" s="2" t="s">
        <v>649</v>
      </c>
      <c r="G141" s="2" t="s">
        <v>694</v>
      </c>
      <c r="H141" s="2" t="s">
        <v>896</v>
      </c>
      <c r="I141" s="2" t="s">
        <v>897</v>
      </c>
      <c r="J141" s="2" t="s">
        <v>898</v>
      </c>
      <c r="K141" s="2"/>
      <c r="L141" s="2"/>
      <c r="M141" s="2"/>
      <c r="N141" s="2"/>
      <c r="O141" s="2"/>
      <c r="P141" s="2"/>
      <c r="Q141" s="2"/>
      <c r="R141" s="2"/>
      <c r="S141" s="2"/>
      <c r="T141" s="2"/>
      <c r="U141" s="2"/>
      <c r="V141" s="2"/>
      <c r="W141" s="2"/>
      <c r="X141" s="2"/>
    </row>
    <row r="142" spans="1:24" x14ac:dyDescent="0.4">
      <c r="A142" s="1">
        <v>428</v>
      </c>
      <c r="B142" s="1" t="s">
        <v>365</v>
      </c>
      <c r="C142" s="2" t="s">
        <v>899</v>
      </c>
      <c r="D142" s="2" t="s">
        <v>900</v>
      </c>
      <c r="E142" s="2"/>
      <c r="F142" s="2"/>
      <c r="G142" s="2"/>
      <c r="H142" s="2"/>
      <c r="I142" s="2"/>
      <c r="J142" s="2"/>
      <c r="K142" s="2"/>
      <c r="L142" s="2"/>
      <c r="M142" s="2"/>
      <c r="N142" s="2"/>
      <c r="O142" s="2"/>
      <c r="P142" s="2"/>
      <c r="Q142" s="2"/>
      <c r="R142" s="2"/>
      <c r="S142" s="2"/>
      <c r="T142" s="2"/>
      <c r="U142" s="2"/>
      <c r="V142" s="2"/>
      <c r="W142" s="2"/>
      <c r="X142" s="2"/>
    </row>
    <row r="143" spans="1:24" x14ac:dyDescent="0.4">
      <c r="A143" s="1">
        <v>439</v>
      </c>
      <c r="B143" s="1" t="s">
        <v>367</v>
      </c>
      <c r="C143" s="2" t="s">
        <v>641</v>
      </c>
      <c r="D143" s="2" t="s">
        <v>703</v>
      </c>
      <c r="E143" s="2" t="s">
        <v>850</v>
      </c>
      <c r="F143" s="2" t="s">
        <v>901</v>
      </c>
      <c r="G143" s="2" t="s">
        <v>748</v>
      </c>
      <c r="H143" s="2"/>
      <c r="I143" s="2"/>
      <c r="J143" s="2"/>
      <c r="K143" s="2"/>
      <c r="L143" s="2"/>
      <c r="M143" s="2"/>
      <c r="N143" s="2"/>
      <c r="O143" s="2"/>
      <c r="P143" s="2"/>
      <c r="Q143" s="2"/>
      <c r="R143" s="2"/>
      <c r="S143" s="2"/>
      <c r="T143" s="2"/>
      <c r="U143" s="2"/>
      <c r="V143" s="2"/>
      <c r="W143" s="2"/>
      <c r="X143" s="2"/>
    </row>
    <row r="144" spans="1:24" x14ac:dyDescent="0.4">
      <c r="A144" s="1">
        <v>448</v>
      </c>
      <c r="B144" s="1" t="s">
        <v>358</v>
      </c>
      <c r="C144" s="2" t="s">
        <v>678</v>
      </c>
      <c r="D144" s="2" t="s">
        <v>902</v>
      </c>
      <c r="E144" s="2" t="s">
        <v>649</v>
      </c>
      <c r="F144" s="2" t="s">
        <v>703</v>
      </c>
      <c r="G144" s="2" t="s">
        <v>903</v>
      </c>
      <c r="H144" s="2"/>
      <c r="I144" s="2"/>
      <c r="J144" s="2"/>
      <c r="K144" s="2"/>
      <c r="L144" s="2"/>
      <c r="M144" s="2"/>
      <c r="N144" s="2"/>
      <c r="O144" s="2"/>
      <c r="P144" s="2"/>
      <c r="Q144" s="2"/>
      <c r="R144" s="2"/>
      <c r="S144" s="2"/>
      <c r="T144" s="2"/>
      <c r="U144" s="2"/>
      <c r="V144" s="2"/>
      <c r="W144" s="2"/>
      <c r="X144" s="2"/>
    </row>
    <row r="145" spans="1:24" x14ac:dyDescent="0.4">
      <c r="A145" s="1">
        <v>453</v>
      </c>
      <c r="B145" s="1" t="s">
        <v>370</v>
      </c>
      <c r="C145" s="2" t="s">
        <v>641</v>
      </c>
      <c r="D145" s="2" t="s">
        <v>642</v>
      </c>
      <c r="E145" s="2" t="s">
        <v>651</v>
      </c>
      <c r="F145" s="2" t="s">
        <v>904</v>
      </c>
      <c r="G145" s="2" t="s">
        <v>733</v>
      </c>
      <c r="H145" s="2" t="s">
        <v>905</v>
      </c>
      <c r="I145" s="2"/>
      <c r="J145" s="2"/>
      <c r="K145" s="2"/>
      <c r="L145" s="2"/>
      <c r="M145" s="2"/>
      <c r="N145" s="2"/>
      <c r="O145" s="2"/>
      <c r="P145" s="2"/>
      <c r="Q145" s="2"/>
      <c r="R145" s="2"/>
      <c r="S145" s="2"/>
      <c r="T145" s="2"/>
      <c r="U145" s="2"/>
      <c r="V145" s="2"/>
      <c r="W145" s="2"/>
      <c r="X145" s="2"/>
    </row>
    <row r="146" spans="1:24" x14ac:dyDescent="0.4">
      <c r="A146" s="1">
        <v>457</v>
      </c>
      <c r="B146" s="1" t="s">
        <v>374</v>
      </c>
      <c r="C146" s="2" t="s">
        <v>681</v>
      </c>
      <c r="D146" s="2" t="s">
        <v>641</v>
      </c>
      <c r="E146" s="2" t="s">
        <v>652</v>
      </c>
      <c r="F146" s="2" t="s">
        <v>678</v>
      </c>
      <c r="G146" s="2" t="s">
        <v>677</v>
      </c>
      <c r="H146" s="2" t="s">
        <v>651</v>
      </c>
      <c r="I146" s="2" t="s">
        <v>653</v>
      </c>
      <c r="J146" s="2" t="s">
        <v>717</v>
      </c>
      <c r="K146" s="2"/>
      <c r="L146" s="2"/>
      <c r="M146" s="2"/>
      <c r="N146" s="2"/>
      <c r="O146" s="2"/>
      <c r="P146" s="2"/>
      <c r="Q146" s="2"/>
      <c r="R146" s="2"/>
      <c r="S146" s="2"/>
      <c r="T146" s="2"/>
      <c r="U146" s="2"/>
      <c r="V146" s="2"/>
      <c r="W146" s="2"/>
      <c r="X146" s="2"/>
    </row>
    <row r="147" spans="1:24" x14ac:dyDescent="0.4">
      <c r="A147" s="1">
        <v>458</v>
      </c>
      <c r="B147" s="1" t="s">
        <v>375</v>
      </c>
      <c r="C147" s="2" t="s">
        <v>869</v>
      </c>
      <c r="D147" s="2"/>
      <c r="E147" s="2"/>
      <c r="F147" s="2"/>
      <c r="G147" s="2"/>
      <c r="H147" s="2"/>
      <c r="I147" s="2"/>
      <c r="J147" s="2"/>
      <c r="K147" s="2"/>
      <c r="L147" s="2"/>
      <c r="M147" s="2"/>
      <c r="N147" s="2"/>
      <c r="O147" s="2"/>
      <c r="P147" s="2"/>
      <c r="Q147" s="2"/>
      <c r="R147" s="2"/>
      <c r="S147" s="2"/>
      <c r="T147" s="2"/>
      <c r="U147" s="2"/>
      <c r="V147" s="2"/>
      <c r="W147" s="2"/>
      <c r="X147" s="2"/>
    </row>
    <row r="148" spans="1:24" x14ac:dyDescent="0.4">
      <c r="A148" s="1">
        <v>461</v>
      </c>
      <c r="B148" s="1" t="s">
        <v>380</v>
      </c>
      <c r="C148" s="2" t="s">
        <v>685</v>
      </c>
      <c r="D148" s="2" t="s">
        <v>785</v>
      </c>
      <c r="E148" s="2" t="s">
        <v>814</v>
      </c>
      <c r="F148" s="2" t="s">
        <v>723</v>
      </c>
      <c r="G148" s="2"/>
      <c r="H148" s="2"/>
      <c r="I148" s="2"/>
      <c r="J148" s="2"/>
      <c r="K148" s="2"/>
      <c r="L148" s="2"/>
      <c r="M148" s="2"/>
      <c r="N148" s="2"/>
      <c r="O148" s="2"/>
      <c r="P148" s="2"/>
      <c r="Q148" s="2"/>
      <c r="R148" s="2"/>
      <c r="S148" s="2"/>
      <c r="T148" s="2"/>
      <c r="U148" s="2"/>
      <c r="V148" s="2"/>
      <c r="W148" s="2"/>
      <c r="X148" s="2"/>
    </row>
    <row r="149" spans="1:24" x14ac:dyDescent="0.4">
      <c r="A149" s="1">
        <v>464</v>
      </c>
      <c r="B149" s="1" t="s">
        <v>381</v>
      </c>
      <c r="C149" s="2" t="s">
        <v>641</v>
      </c>
      <c r="D149" s="2" t="s">
        <v>642</v>
      </c>
      <c r="E149" s="2" t="s">
        <v>650</v>
      </c>
      <c r="F149" s="2"/>
      <c r="G149" s="2"/>
      <c r="H149" s="2"/>
      <c r="I149" s="2"/>
      <c r="J149" s="2"/>
      <c r="K149" s="2"/>
      <c r="L149" s="2"/>
      <c r="M149" s="2"/>
      <c r="N149" s="2"/>
      <c r="O149" s="2"/>
      <c r="P149" s="2"/>
      <c r="Q149" s="2"/>
      <c r="R149" s="2"/>
      <c r="S149" s="2"/>
      <c r="T149" s="2"/>
      <c r="U149" s="2"/>
      <c r="V149" s="2"/>
      <c r="W149" s="2"/>
      <c r="X149" s="2"/>
    </row>
    <row r="150" spans="1:24" x14ac:dyDescent="0.4">
      <c r="A150" s="1">
        <v>470</v>
      </c>
      <c r="B150" s="1" t="s">
        <v>384</v>
      </c>
      <c r="C150" s="2" t="s">
        <v>731</v>
      </c>
      <c r="D150" s="2" t="s">
        <v>906</v>
      </c>
      <c r="E150" s="2"/>
      <c r="F150" s="2"/>
      <c r="G150" s="2"/>
      <c r="H150" s="2"/>
      <c r="I150" s="2"/>
      <c r="J150" s="2"/>
      <c r="K150" s="2"/>
      <c r="L150" s="2"/>
      <c r="M150" s="2"/>
      <c r="N150" s="2"/>
      <c r="O150" s="2"/>
      <c r="P150" s="2"/>
      <c r="Q150" s="2"/>
      <c r="R150" s="2"/>
      <c r="S150" s="2"/>
      <c r="T150" s="2"/>
      <c r="U150" s="2"/>
      <c r="V150" s="2"/>
      <c r="W150" s="2"/>
      <c r="X150" s="2"/>
    </row>
    <row r="151" spans="1:24" x14ac:dyDescent="0.4">
      <c r="A151" s="1">
        <v>472</v>
      </c>
      <c r="B151" s="1" t="s">
        <v>385</v>
      </c>
      <c r="C151" s="2" t="s">
        <v>681</v>
      </c>
      <c r="D151" s="2" t="s">
        <v>649</v>
      </c>
      <c r="E151" s="2" t="s">
        <v>641</v>
      </c>
      <c r="F151" s="2" t="s">
        <v>792</v>
      </c>
      <c r="G151" s="2" t="s">
        <v>653</v>
      </c>
      <c r="H151" s="2" t="s">
        <v>907</v>
      </c>
      <c r="I151" s="2" t="s">
        <v>656</v>
      </c>
      <c r="J151" s="2" t="s">
        <v>654</v>
      </c>
      <c r="K151" s="2" t="s">
        <v>657</v>
      </c>
      <c r="L151" s="2"/>
      <c r="M151" s="2"/>
      <c r="N151" s="2"/>
      <c r="O151" s="2"/>
      <c r="P151" s="2"/>
      <c r="Q151" s="2"/>
      <c r="R151" s="2"/>
      <c r="S151" s="2"/>
      <c r="T151" s="2"/>
      <c r="U151" s="2"/>
      <c r="V151" s="2"/>
      <c r="W151" s="2"/>
      <c r="X151" s="2"/>
    </row>
    <row r="152" spans="1:24" x14ac:dyDescent="0.4">
      <c r="A152" s="1">
        <v>475</v>
      </c>
      <c r="B152" s="1" t="s">
        <v>389</v>
      </c>
      <c r="C152" s="2" t="s">
        <v>908</v>
      </c>
      <c r="D152" s="2" t="s">
        <v>703</v>
      </c>
      <c r="E152" s="2" t="s">
        <v>706</v>
      </c>
      <c r="F152" s="2"/>
      <c r="G152" s="2"/>
      <c r="H152" s="2"/>
      <c r="I152" s="2"/>
      <c r="J152" s="2"/>
      <c r="K152" s="2"/>
      <c r="L152" s="2"/>
      <c r="M152" s="2"/>
      <c r="N152" s="2"/>
      <c r="O152" s="2"/>
      <c r="P152" s="2"/>
      <c r="Q152" s="2"/>
      <c r="R152" s="2"/>
      <c r="S152" s="2"/>
      <c r="T152" s="2"/>
      <c r="U152" s="2"/>
      <c r="V152" s="2"/>
      <c r="W152" s="2"/>
      <c r="X152" s="2"/>
    </row>
    <row r="153" spans="1:24" x14ac:dyDescent="0.4">
      <c r="A153" s="1">
        <v>477</v>
      </c>
      <c r="B153" s="1" t="s">
        <v>391</v>
      </c>
      <c r="C153" s="2" t="s">
        <v>703</v>
      </c>
      <c r="D153" s="2" t="s">
        <v>641</v>
      </c>
      <c r="E153" s="2"/>
      <c r="F153" s="2"/>
      <c r="G153" s="2"/>
      <c r="H153" s="2"/>
      <c r="I153" s="2"/>
      <c r="J153" s="2"/>
      <c r="K153" s="2"/>
      <c r="L153" s="2"/>
      <c r="M153" s="2"/>
      <c r="N153" s="2"/>
      <c r="O153" s="2"/>
      <c r="P153" s="2"/>
      <c r="Q153" s="2"/>
      <c r="R153" s="2"/>
      <c r="S153" s="2"/>
      <c r="T153" s="2"/>
      <c r="U153" s="2"/>
      <c r="V153" s="2"/>
      <c r="W153" s="2"/>
      <c r="X153" s="2"/>
    </row>
    <row r="154" spans="1:24" x14ac:dyDescent="0.4">
      <c r="A154" s="1">
        <v>483</v>
      </c>
      <c r="B154" s="1" t="s">
        <v>393</v>
      </c>
      <c r="C154" s="2" t="s">
        <v>713</v>
      </c>
      <c r="D154" s="2" t="s">
        <v>909</v>
      </c>
      <c r="E154" s="2" t="s">
        <v>910</v>
      </c>
      <c r="F154" s="2"/>
      <c r="G154" s="2"/>
      <c r="H154" s="2"/>
      <c r="I154" s="2"/>
      <c r="J154" s="2"/>
      <c r="K154" s="2"/>
      <c r="L154" s="2"/>
      <c r="M154" s="2"/>
      <c r="N154" s="2"/>
      <c r="O154" s="2"/>
      <c r="P154" s="2"/>
      <c r="Q154" s="2"/>
      <c r="R154" s="2"/>
      <c r="S154" s="2"/>
      <c r="T154" s="2"/>
      <c r="U154" s="2"/>
      <c r="V154" s="2"/>
      <c r="W154" s="2"/>
      <c r="X154" s="2"/>
    </row>
    <row r="155" spans="1:24" x14ac:dyDescent="0.4">
      <c r="A155" s="1">
        <v>488</v>
      </c>
      <c r="B155" s="1" t="s">
        <v>396</v>
      </c>
      <c r="C155" s="2" t="s">
        <v>685</v>
      </c>
      <c r="D155" s="2" t="s">
        <v>785</v>
      </c>
      <c r="E155" s="2" t="s">
        <v>689</v>
      </c>
      <c r="F155" s="2" t="s">
        <v>814</v>
      </c>
      <c r="G155" s="2"/>
      <c r="H155" s="2"/>
      <c r="I155" s="2"/>
      <c r="J155" s="2"/>
      <c r="K155" s="2"/>
      <c r="L155" s="2"/>
      <c r="M155" s="2"/>
      <c r="N155" s="2"/>
      <c r="O155" s="2"/>
      <c r="P155" s="2"/>
      <c r="Q155" s="2"/>
      <c r="R155" s="2"/>
      <c r="S155" s="2"/>
      <c r="T155" s="2"/>
      <c r="U155" s="2"/>
      <c r="V155" s="2"/>
      <c r="W155" s="2"/>
      <c r="X155" s="2"/>
    </row>
    <row r="156" spans="1:24" x14ac:dyDescent="0.4">
      <c r="A156" s="1">
        <v>509</v>
      </c>
      <c r="B156" s="1" t="s">
        <v>402</v>
      </c>
      <c r="C156" s="2" t="s">
        <v>713</v>
      </c>
      <c r="D156" s="2" t="s">
        <v>909</v>
      </c>
      <c r="E156" s="2"/>
      <c r="F156" s="2"/>
      <c r="G156" s="2"/>
      <c r="H156" s="2"/>
      <c r="I156" s="2"/>
      <c r="J156" s="2"/>
      <c r="K156" s="2"/>
      <c r="L156" s="2"/>
      <c r="M156" s="2"/>
      <c r="N156" s="2"/>
      <c r="O156" s="2"/>
      <c r="P156" s="2"/>
      <c r="Q156" s="2"/>
      <c r="R156" s="2"/>
      <c r="S156" s="2"/>
      <c r="T156" s="2"/>
      <c r="U156" s="2"/>
      <c r="V156" s="2"/>
      <c r="W156" s="2"/>
      <c r="X156" s="2"/>
    </row>
    <row r="157" spans="1:24" x14ac:dyDescent="0.4">
      <c r="A157" s="1">
        <v>510</v>
      </c>
      <c r="B157" s="1" t="s">
        <v>405</v>
      </c>
      <c r="C157" s="2" t="s">
        <v>911</v>
      </c>
      <c r="D157" s="2" t="s">
        <v>691</v>
      </c>
      <c r="E157" s="2" t="s">
        <v>649</v>
      </c>
      <c r="F157" s="2"/>
      <c r="G157" s="2"/>
      <c r="H157" s="2"/>
      <c r="I157" s="2"/>
      <c r="J157" s="2"/>
      <c r="K157" s="2"/>
      <c r="L157" s="2"/>
      <c r="M157" s="2"/>
      <c r="N157" s="2"/>
      <c r="O157" s="2"/>
      <c r="P157" s="2"/>
      <c r="Q157" s="2"/>
      <c r="R157" s="2"/>
      <c r="S157" s="2"/>
      <c r="T157" s="2"/>
      <c r="U157" s="2"/>
      <c r="V157" s="2"/>
      <c r="W157" s="2"/>
      <c r="X157" s="2"/>
    </row>
    <row r="158" spans="1:24" x14ac:dyDescent="0.4">
      <c r="A158" s="1">
        <v>515</v>
      </c>
      <c r="B158" s="1" t="s">
        <v>407</v>
      </c>
      <c r="C158" s="2" t="s">
        <v>804</v>
      </c>
      <c r="D158" s="2" t="s">
        <v>642</v>
      </c>
      <c r="E158" s="2" t="s">
        <v>685</v>
      </c>
      <c r="F158" s="2" t="s">
        <v>912</v>
      </c>
      <c r="G158" s="2"/>
      <c r="H158" s="2"/>
      <c r="I158" s="2"/>
      <c r="J158" s="2"/>
      <c r="K158" s="2"/>
      <c r="L158" s="2"/>
      <c r="M158" s="2"/>
      <c r="N158" s="2"/>
      <c r="O158" s="2"/>
      <c r="P158" s="2"/>
      <c r="Q158" s="2"/>
      <c r="R158" s="2"/>
      <c r="S158" s="2"/>
      <c r="T158" s="2"/>
      <c r="U158" s="2"/>
      <c r="V158" s="2"/>
      <c r="W158" s="2"/>
      <c r="X158" s="2"/>
    </row>
    <row r="159" spans="1:24" x14ac:dyDescent="0.4">
      <c r="A159" s="1">
        <v>517</v>
      </c>
      <c r="B159" s="1" t="s">
        <v>409</v>
      </c>
      <c r="C159" s="2" t="s">
        <v>642</v>
      </c>
      <c r="D159" s="2" t="s">
        <v>723</v>
      </c>
      <c r="E159" s="2"/>
      <c r="F159" s="2"/>
      <c r="G159" s="2"/>
      <c r="H159" s="2"/>
      <c r="I159" s="2"/>
      <c r="J159" s="2"/>
      <c r="K159" s="2"/>
      <c r="L159" s="2"/>
      <c r="M159" s="2"/>
      <c r="N159" s="2"/>
      <c r="O159" s="2"/>
      <c r="P159" s="2"/>
      <c r="Q159" s="2"/>
      <c r="R159" s="2"/>
      <c r="S159" s="2"/>
      <c r="T159" s="2"/>
      <c r="U159" s="2"/>
      <c r="V159" s="2"/>
      <c r="W159" s="2"/>
      <c r="X159" s="2"/>
    </row>
    <row r="160" spans="1:24" x14ac:dyDescent="0.4">
      <c r="A160" s="1">
        <v>526</v>
      </c>
      <c r="B160" s="1" t="s">
        <v>410</v>
      </c>
      <c r="C160" s="2" t="s">
        <v>913</v>
      </c>
      <c r="D160" s="2" t="s">
        <v>642</v>
      </c>
      <c r="E160" s="2" t="s">
        <v>653</v>
      </c>
      <c r="F160" s="2" t="s">
        <v>717</v>
      </c>
      <c r="G160" s="2" t="s">
        <v>651</v>
      </c>
      <c r="H160" s="2" t="s">
        <v>677</v>
      </c>
      <c r="I160" s="2" t="s">
        <v>666</v>
      </c>
      <c r="J160" s="2" t="s">
        <v>678</v>
      </c>
      <c r="K160" s="2"/>
      <c r="L160" s="2"/>
      <c r="M160" s="2"/>
      <c r="N160" s="2"/>
      <c r="O160" s="2"/>
      <c r="P160" s="2"/>
      <c r="Q160" s="2"/>
      <c r="R160" s="2"/>
      <c r="S160" s="2"/>
      <c r="T160" s="2"/>
      <c r="U160" s="2"/>
      <c r="V160" s="2"/>
      <c r="W160" s="2"/>
      <c r="X160" s="2"/>
    </row>
    <row r="161" spans="1:24" x14ac:dyDescent="0.4">
      <c r="A161" s="1">
        <v>532</v>
      </c>
      <c r="B161" s="1" t="s">
        <v>413</v>
      </c>
      <c r="C161" s="2" t="s">
        <v>731</v>
      </c>
      <c r="D161" s="2" t="s">
        <v>914</v>
      </c>
      <c r="E161" s="2" t="s">
        <v>773</v>
      </c>
      <c r="F161" s="2" t="s">
        <v>915</v>
      </c>
      <c r="G161" s="2"/>
      <c r="H161" s="2"/>
      <c r="I161" s="2"/>
      <c r="J161" s="2"/>
      <c r="K161" s="2"/>
      <c r="L161" s="2"/>
      <c r="M161" s="2"/>
      <c r="N161" s="2"/>
      <c r="O161" s="2"/>
      <c r="P161" s="2"/>
      <c r="Q161" s="2"/>
      <c r="R161" s="2"/>
      <c r="S161" s="2"/>
      <c r="T161" s="2"/>
      <c r="U161" s="2"/>
      <c r="V161" s="2"/>
      <c r="W161" s="2"/>
      <c r="X161" s="2"/>
    </row>
    <row r="162" spans="1:24" x14ac:dyDescent="0.4">
      <c r="A162" s="1">
        <v>536</v>
      </c>
      <c r="B162" s="1" t="s">
        <v>414</v>
      </c>
      <c r="C162" s="2" t="s">
        <v>802</v>
      </c>
      <c r="D162" s="2" t="s">
        <v>916</v>
      </c>
      <c r="E162" s="2"/>
      <c r="F162" s="2"/>
      <c r="G162" s="2"/>
      <c r="H162" s="2"/>
      <c r="I162" s="2"/>
      <c r="J162" s="2"/>
      <c r="K162" s="2"/>
      <c r="L162" s="2"/>
      <c r="M162" s="2"/>
      <c r="N162" s="2"/>
      <c r="O162" s="2"/>
      <c r="P162" s="2"/>
      <c r="Q162" s="2"/>
      <c r="R162" s="2"/>
      <c r="S162" s="2"/>
      <c r="T162" s="2"/>
      <c r="U162" s="2"/>
      <c r="V162" s="2"/>
      <c r="W162" s="2"/>
      <c r="X162" s="2"/>
    </row>
    <row r="163" spans="1:24" x14ac:dyDescent="0.4">
      <c r="A163" s="1">
        <v>537</v>
      </c>
      <c r="B163" s="1" t="s">
        <v>417</v>
      </c>
      <c r="C163" s="2" t="s">
        <v>676</v>
      </c>
      <c r="D163" s="2" t="s">
        <v>694</v>
      </c>
      <c r="E163" s="2"/>
      <c r="F163" s="2"/>
      <c r="G163" s="2"/>
      <c r="H163" s="2"/>
      <c r="I163" s="2"/>
      <c r="J163" s="2"/>
      <c r="K163" s="2"/>
      <c r="L163" s="2"/>
      <c r="M163" s="2"/>
      <c r="N163" s="2"/>
      <c r="O163" s="2"/>
      <c r="P163" s="2"/>
      <c r="Q163" s="2"/>
      <c r="R163" s="2"/>
      <c r="S163" s="2"/>
      <c r="T163" s="2"/>
      <c r="U163" s="2"/>
      <c r="V163" s="2"/>
      <c r="W163" s="2"/>
      <c r="X163" s="2"/>
    </row>
    <row r="164" spans="1:24" x14ac:dyDescent="0.4">
      <c r="A164" s="1">
        <v>538</v>
      </c>
      <c r="B164" s="1" t="s">
        <v>385</v>
      </c>
      <c r="C164" s="2" t="s">
        <v>642</v>
      </c>
      <c r="D164" s="2" t="s">
        <v>649</v>
      </c>
      <c r="E164" s="2" t="s">
        <v>792</v>
      </c>
      <c r="F164" s="2" t="s">
        <v>681</v>
      </c>
      <c r="G164" s="2" t="s">
        <v>653</v>
      </c>
      <c r="H164" s="2" t="s">
        <v>907</v>
      </c>
      <c r="I164" s="2" t="s">
        <v>656</v>
      </c>
      <c r="J164" s="2" t="s">
        <v>657</v>
      </c>
      <c r="K164" s="2" t="s">
        <v>654</v>
      </c>
      <c r="L164" s="2" t="s">
        <v>641</v>
      </c>
      <c r="M164" s="2" t="s">
        <v>748</v>
      </c>
      <c r="N164" s="2"/>
      <c r="O164" s="2"/>
      <c r="P164" s="2"/>
      <c r="Q164" s="2"/>
      <c r="R164" s="2"/>
      <c r="S164" s="2"/>
      <c r="T164" s="2"/>
      <c r="U164" s="2"/>
      <c r="V164" s="2"/>
      <c r="W164" s="2"/>
      <c r="X164" s="2"/>
    </row>
    <row r="165" spans="1:24" x14ac:dyDescent="0.4">
      <c r="A165" s="1">
        <v>540</v>
      </c>
      <c r="B165" s="1" t="s">
        <v>420</v>
      </c>
      <c r="C165" s="2" t="s">
        <v>804</v>
      </c>
      <c r="D165" s="2" t="s">
        <v>650</v>
      </c>
      <c r="E165" s="2"/>
      <c r="F165" s="2"/>
      <c r="G165" s="2"/>
      <c r="H165" s="2"/>
      <c r="I165" s="2"/>
      <c r="J165" s="2"/>
      <c r="K165" s="2"/>
      <c r="L165" s="2"/>
      <c r="M165" s="2"/>
      <c r="N165" s="2"/>
      <c r="O165" s="2"/>
      <c r="P165" s="2"/>
      <c r="Q165" s="2"/>
      <c r="R165" s="2"/>
      <c r="S165" s="2"/>
      <c r="T165" s="2"/>
      <c r="U165" s="2"/>
      <c r="V165" s="2"/>
      <c r="W165" s="2"/>
      <c r="X165" s="2"/>
    </row>
    <row r="166" spans="1:24" x14ac:dyDescent="0.4">
      <c r="A166" s="1">
        <v>555</v>
      </c>
      <c r="B166" s="1" t="s">
        <v>423</v>
      </c>
      <c r="C166" s="2" t="s">
        <v>776</v>
      </c>
      <c r="D166" s="2" t="s">
        <v>731</v>
      </c>
      <c r="E166" s="2" t="s">
        <v>728</v>
      </c>
      <c r="F166" s="2"/>
      <c r="G166" s="2"/>
      <c r="H166" s="2"/>
      <c r="I166" s="2"/>
      <c r="J166" s="2"/>
      <c r="K166" s="2"/>
      <c r="L166" s="2"/>
      <c r="M166" s="2"/>
      <c r="N166" s="2"/>
      <c r="O166" s="2"/>
      <c r="P166" s="2"/>
      <c r="Q166" s="2"/>
      <c r="R166" s="2"/>
      <c r="S166" s="2"/>
      <c r="T166" s="2"/>
      <c r="U166" s="2"/>
      <c r="V166" s="2"/>
      <c r="W166" s="2"/>
      <c r="X166" s="2"/>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3A344-31C4-452C-A93E-C9C138E4B799}">
  <dimension ref="A1:X166"/>
  <sheetViews>
    <sheetView workbookViewId="0">
      <selection activeCell="B18" sqref="B18"/>
    </sheetView>
  </sheetViews>
  <sheetFormatPr defaultRowHeight="17.399999999999999" x14ac:dyDescent="0.4"/>
  <cols>
    <col min="1" max="1" width="8.796875" style="1" bestFit="1" customWidth="1"/>
    <col min="2" max="2" width="36.59765625" style="1" customWidth="1"/>
    <col min="3" max="3" width="15.3984375" style="2" bestFit="1" customWidth="1"/>
    <col min="4" max="5" width="16.296875" bestFit="1" customWidth="1"/>
    <col min="6" max="6" width="20.19921875" bestFit="1" customWidth="1"/>
    <col min="7" max="7" width="16.296875" bestFit="1" customWidth="1"/>
    <col min="8" max="9" width="12.3984375" bestFit="1" customWidth="1"/>
    <col min="10" max="10" width="14.59765625" bestFit="1" customWidth="1"/>
    <col min="11" max="11" width="16.296875" bestFit="1" customWidth="1"/>
    <col min="12" max="12" width="12.3984375" bestFit="1" customWidth="1"/>
    <col min="13" max="13" width="14.3984375" bestFit="1" customWidth="1"/>
    <col min="14" max="14" width="12.19921875" bestFit="1" customWidth="1"/>
    <col min="15" max="15" width="14.3984375" bestFit="1" customWidth="1"/>
    <col min="16" max="17" width="12.19921875" bestFit="1" customWidth="1"/>
    <col min="18" max="18" width="12.3984375" bestFit="1" customWidth="1"/>
    <col min="19" max="24" width="12.19921875" bestFit="1" customWidth="1"/>
  </cols>
  <sheetData>
    <row r="1" spans="1:24" x14ac:dyDescent="0.4">
      <c r="A1" s="1" t="s">
        <v>425</v>
      </c>
      <c r="B1" s="1" t="s">
        <v>424</v>
      </c>
      <c r="C1" s="2" t="s">
        <v>426</v>
      </c>
      <c r="D1" s="2" t="s">
        <v>427</v>
      </c>
      <c r="E1" s="2" t="s">
        <v>428</v>
      </c>
      <c r="F1" s="2" t="s">
        <v>429</v>
      </c>
      <c r="G1" s="2" t="s">
        <v>430</v>
      </c>
      <c r="H1" s="2" t="s">
        <v>431</v>
      </c>
      <c r="I1" s="2" t="s">
        <v>432</v>
      </c>
      <c r="J1" s="2" t="s">
        <v>433</v>
      </c>
      <c r="K1" s="2" t="s">
        <v>434</v>
      </c>
      <c r="L1" s="2" t="s">
        <v>435</v>
      </c>
      <c r="M1" s="2" t="s">
        <v>436</v>
      </c>
      <c r="N1" s="2" t="s">
        <v>437</v>
      </c>
      <c r="O1" s="2" t="s">
        <v>438</v>
      </c>
      <c r="P1" s="2" t="s">
        <v>439</v>
      </c>
      <c r="Q1" s="2" t="s">
        <v>440</v>
      </c>
      <c r="R1" s="2" t="s">
        <v>441</v>
      </c>
      <c r="S1" s="2" t="s">
        <v>442</v>
      </c>
      <c r="T1" s="2" t="s">
        <v>443</v>
      </c>
      <c r="U1" s="2" t="s">
        <v>444</v>
      </c>
      <c r="V1" s="2" t="s">
        <v>445</v>
      </c>
      <c r="W1" s="2" t="s">
        <v>446</v>
      </c>
      <c r="X1" s="2" t="s">
        <v>447</v>
      </c>
    </row>
    <row r="2" spans="1:24" x14ac:dyDescent="0.4">
      <c r="A2" s="1">
        <v>9</v>
      </c>
      <c r="B2" s="1" t="s">
        <v>13</v>
      </c>
      <c r="C2" s="2" t="s">
        <v>448</v>
      </c>
      <c r="D2" t="s">
        <v>449</v>
      </c>
      <c r="E2" t="s">
        <v>450</v>
      </c>
      <c r="F2" t="s">
        <v>451</v>
      </c>
    </row>
    <row r="3" spans="1:24" x14ac:dyDescent="0.4">
      <c r="A3" s="1">
        <v>15</v>
      </c>
      <c r="B3" s="1" t="s">
        <v>20</v>
      </c>
      <c r="C3" s="2" t="s">
        <v>452</v>
      </c>
      <c r="D3" t="s">
        <v>453</v>
      </c>
      <c r="E3" t="s">
        <v>454</v>
      </c>
    </row>
    <row r="4" spans="1:24" x14ac:dyDescent="0.4">
      <c r="A4" s="1">
        <v>22</v>
      </c>
      <c r="B4" s="1" t="s">
        <v>24</v>
      </c>
      <c r="C4" s="2" t="s">
        <v>448</v>
      </c>
      <c r="D4" t="s">
        <v>455</v>
      </c>
      <c r="E4" t="s">
        <v>456</v>
      </c>
      <c r="F4" t="s">
        <v>457</v>
      </c>
      <c r="G4" t="s">
        <v>452</v>
      </c>
      <c r="H4" t="s">
        <v>454</v>
      </c>
      <c r="I4" t="s">
        <v>458</v>
      </c>
      <c r="J4" t="s">
        <v>459</v>
      </c>
      <c r="K4" t="s">
        <v>460</v>
      </c>
      <c r="L4" t="s">
        <v>461</v>
      </c>
      <c r="M4" t="s">
        <v>462</v>
      </c>
      <c r="N4" t="s">
        <v>463</v>
      </c>
      <c r="O4" t="s">
        <v>464</v>
      </c>
      <c r="P4" t="s">
        <v>465</v>
      </c>
      <c r="Q4" t="s">
        <v>466</v>
      </c>
    </row>
    <row r="5" spans="1:24" x14ac:dyDescent="0.4">
      <c r="A5" s="1">
        <v>23</v>
      </c>
      <c r="B5" s="1" t="s">
        <v>28</v>
      </c>
      <c r="C5" s="2" t="s">
        <v>459</v>
      </c>
      <c r="D5" t="s">
        <v>460</v>
      </c>
      <c r="E5" t="s">
        <v>467</v>
      </c>
      <c r="F5" t="s">
        <v>457</v>
      </c>
      <c r="G5" t="s">
        <v>462</v>
      </c>
      <c r="H5" t="s">
        <v>451</v>
      </c>
    </row>
    <row r="6" spans="1:24" x14ac:dyDescent="0.4">
      <c r="A6" s="1">
        <v>25</v>
      </c>
      <c r="B6" s="1" t="s">
        <v>30</v>
      </c>
      <c r="C6" s="2" t="s">
        <v>457</v>
      </c>
      <c r="D6" t="s">
        <v>468</v>
      </c>
    </row>
    <row r="7" spans="1:24" x14ac:dyDescent="0.4">
      <c r="A7" s="1">
        <v>30</v>
      </c>
      <c r="B7" s="1" t="s">
        <v>36</v>
      </c>
      <c r="C7" s="2" t="s">
        <v>456</v>
      </c>
      <c r="D7" t="s">
        <v>448</v>
      </c>
      <c r="E7" t="s">
        <v>469</v>
      </c>
      <c r="F7" t="s">
        <v>452</v>
      </c>
      <c r="G7" t="s">
        <v>470</v>
      </c>
      <c r="H7" t="s">
        <v>471</v>
      </c>
    </row>
    <row r="8" spans="1:24" x14ac:dyDescent="0.4">
      <c r="A8" s="1">
        <v>31</v>
      </c>
      <c r="B8" s="1" t="s">
        <v>41</v>
      </c>
      <c r="C8" s="2" t="s">
        <v>448</v>
      </c>
      <c r="D8" t="s">
        <v>457</v>
      </c>
      <c r="E8" t="s">
        <v>472</v>
      </c>
      <c r="F8" t="s">
        <v>473</v>
      </c>
      <c r="G8" t="s">
        <v>454</v>
      </c>
      <c r="H8" t="s">
        <v>463</v>
      </c>
      <c r="I8" t="s">
        <v>474</v>
      </c>
      <c r="J8" t="s">
        <v>475</v>
      </c>
      <c r="K8" t="s">
        <v>476</v>
      </c>
      <c r="L8" t="s">
        <v>477</v>
      </c>
      <c r="M8" t="s">
        <v>478</v>
      </c>
      <c r="N8" t="s">
        <v>479</v>
      </c>
      <c r="O8" t="s">
        <v>480</v>
      </c>
      <c r="P8" t="s">
        <v>481</v>
      </c>
      <c r="Q8" t="s">
        <v>464</v>
      </c>
      <c r="R8" t="s">
        <v>465</v>
      </c>
      <c r="S8" t="s">
        <v>455</v>
      </c>
      <c r="T8" t="s">
        <v>449</v>
      </c>
      <c r="U8" t="s">
        <v>482</v>
      </c>
      <c r="V8" t="s">
        <v>483</v>
      </c>
    </row>
    <row r="9" spans="1:24" x14ac:dyDescent="0.4">
      <c r="A9" s="1">
        <v>33</v>
      </c>
      <c r="B9" s="1" t="s">
        <v>43</v>
      </c>
      <c r="C9" s="2" t="s">
        <v>456</v>
      </c>
      <c r="D9" t="s">
        <v>448</v>
      </c>
      <c r="E9" t="s">
        <v>450</v>
      </c>
      <c r="F9" t="s">
        <v>484</v>
      </c>
      <c r="G9" t="s">
        <v>485</v>
      </c>
      <c r="H9" t="s">
        <v>467</v>
      </c>
      <c r="I9" t="s">
        <v>486</v>
      </c>
    </row>
    <row r="10" spans="1:24" x14ac:dyDescent="0.4">
      <c r="A10" s="1">
        <v>35</v>
      </c>
      <c r="B10" s="1" t="s">
        <v>44</v>
      </c>
      <c r="C10" s="2" t="s">
        <v>461</v>
      </c>
      <c r="D10" t="s">
        <v>462</v>
      </c>
      <c r="E10" t="s">
        <v>487</v>
      </c>
      <c r="F10" t="s">
        <v>488</v>
      </c>
    </row>
    <row r="11" spans="1:24" x14ac:dyDescent="0.4">
      <c r="A11" s="1">
        <v>41</v>
      </c>
      <c r="B11" s="1" t="s">
        <v>47</v>
      </c>
      <c r="C11" s="2" t="s">
        <v>457</v>
      </c>
      <c r="D11" t="s">
        <v>461</v>
      </c>
      <c r="E11" t="s">
        <v>455</v>
      </c>
      <c r="F11" t="s">
        <v>473</v>
      </c>
      <c r="G11" t="s">
        <v>448</v>
      </c>
      <c r="H11" t="s">
        <v>476</v>
      </c>
      <c r="I11" t="s">
        <v>452</v>
      </c>
      <c r="J11" t="s">
        <v>485</v>
      </c>
      <c r="K11" t="s">
        <v>454</v>
      </c>
      <c r="L11" t="s">
        <v>489</v>
      </c>
    </row>
    <row r="12" spans="1:24" x14ac:dyDescent="0.4">
      <c r="A12" s="1">
        <v>42</v>
      </c>
      <c r="B12" s="1" t="s">
        <v>50</v>
      </c>
      <c r="C12" s="2" t="s">
        <v>448</v>
      </c>
      <c r="D12" t="s">
        <v>457</v>
      </c>
      <c r="E12" t="s">
        <v>452</v>
      </c>
      <c r="F12" t="s">
        <v>462</v>
      </c>
      <c r="G12" t="s">
        <v>490</v>
      </c>
      <c r="H12" t="s">
        <v>458</v>
      </c>
      <c r="I12" t="s">
        <v>456</v>
      </c>
      <c r="J12" t="s">
        <v>453</v>
      </c>
      <c r="K12" t="s">
        <v>491</v>
      </c>
      <c r="L12" t="s">
        <v>454</v>
      </c>
      <c r="M12" t="s">
        <v>460</v>
      </c>
      <c r="N12" t="s">
        <v>472</v>
      </c>
      <c r="O12" t="s">
        <v>476</v>
      </c>
    </row>
    <row r="13" spans="1:24" x14ac:dyDescent="0.4">
      <c r="A13" s="1">
        <v>43</v>
      </c>
      <c r="B13" s="1" t="s">
        <v>51</v>
      </c>
      <c r="C13" s="2" t="s">
        <v>455</v>
      </c>
      <c r="D13" t="s">
        <v>448</v>
      </c>
      <c r="E13" t="s">
        <v>457</v>
      </c>
      <c r="F13" t="s">
        <v>452</v>
      </c>
      <c r="G13" t="s">
        <v>456</v>
      </c>
      <c r="H13" t="s">
        <v>459</v>
      </c>
      <c r="I13" t="s">
        <v>460</v>
      </c>
      <c r="J13" t="s">
        <v>467</v>
      </c>
      <c r="K13" t="s">
        <v>461</v>
      </c>
      <c r="L13" t="s">
        <v>462</v>
      </c>
      <c r="M13" t="s">
        <v>454</v>
      </c>
      <c r="N13" t="s">
        <v>489</v>
      </c>
      <c r="O13" t="s">
        <v>492</v>
      </c>
    </row>
    <row r="14" spans="1:24" x14ac:dyDescent="0.4">
      <c r="A14" s="1">
        <v>46</v>
      </c>
      <c r="B14" s="1" t="s">
        <v>53</v>
      </c>
      <c r="C14" s="2" t="s">
        <v>450</v>
      </c>
      <c r="D14" t="s">
        <v>448</v>
      </c>
    </row>
    <row r="15" spans="1:24" x14ac:dyDescent="0.4">
      <c r="A15" s="1">
        <v>47</v>
      </c>
      <c r="B15" s="1" t="s">
        <v>54</v>
      </c>
      <c r="C15" s="2" t="s">
        <v>448</v>
      </c>
      <c r="D15" t="s">
        <v>479</v>
      </c>
      <c r="E15" t="s">
        <v>457</v>
      </c>
      <c r="F15" t="s">
        <v>476</v>
      </c>
      <c r="G15" t="s">
        <v>493</v>
      </c>
      <c r="H15" t="s">
        <v>456</v>
      </c>
      <c r="I15" t="s">
        <v>472</v>
      </c>
    </row>
    <row r="16" spans="1:24" x14ac:dyDescent="0.4">
      <c r="A16" s="1">
        <v>48</v>
      </c>
      <c r="B16" s="1" t="s">
        <v>57</v>
      </c>
      <c r="C16" s="2" t="s">
        <v>469</v>
      </c>
      <c r="D16" t="s">
        <v>468</v>
      </c>
      <c r="E16" t="s">
        <v>494</v>
      </c>
    </row>
    <row r="17" spans="1:19" x14ac:dyDescent="0.4">
      <c r="A17" s="1">
        <v>49</v>
      </c>
      <c r="B17" s="1" t="s">
        <v>61</v>
      </c>
      <c r="C17" s="2" t="s">
        <v>468</v>
      </c>
      <c r="D17" t="s">
        <v>479</v>
      </c>
      <c r="E17" t="s">
        <v>469</v>
      </c>
    </row>
    <row r="18" spans="1:19" x14ac:dyDescent="0.4">
      <c r="A18" s="1">
        <v>61</v>
      </c>
      <c r="B18" s="1" t="s">
        <v>64</v>
      </c>
      <c r="C18" s="2" t="s">
        <v>477</v>
      </c>
      <c r="D18" t="s">
        <v>495</v>
      </c>
      <c r="E18" t="s">
        <v>496</v>
      </c>
      <c r="F18" t="s">
        <v>448</v>
      </c>
      <c r="G18" t="s">
        <v>497</v>
      </c>
      <c r="H18" t="s">
        <v>469</v>
      </c>
    </row>
    <row r="19" spans="1:19" x14ac:dyDescent="0.4">
      <c r="A19" s="1">
        <v>73</v>
      </c>
      <c r="B19" s="1" t="s">
        <v>67</v>
      </c>
      <c r="C19" s="2" t="s">
        <v>498</v>
      </c>
      <c r="D19" t="s">
        <v>468</v>
      </c>
    </row>
    <row r="20" spans="1:19" x14ac:dyDescent="0.4">
      <c r="A20" s="1">
        <v>84</v>
      </c>
      <c r="B20" s="1" t="s">
        <v>70</v>
      </c>
      <c r="C20" s="2" t="s">
        <v>499</v>
      </c>
      <c r="D20" t="s">
        <v>469</v>
      </c>
    </row>
    <row r="21" spans="1:19" x14ac:dyDescent="0.4">
      <c r="A21" s="1">
        <v>85</v>
      </c>
      <c r="B21" s="1" t="s">
        <v>73</v>
      </c>
      <c r="C21" s="2" t="s">
        <v>448</v>
      </c>
      <c r="D21" t="s">
        <v>456</v>
      </c>
      <c r="E21" t="s">
        <v>455</v>
      </c>
      <c r="F21" t="s">
        <v>458</v>
      </c>
      <c r="G21" t="s">
        <v>479</v>
      </c>
      <c r="H21" t="s">
        <v>500</v>
      </c>
      <c r="I21" t="s">
        <v>457</v>
      </c>
      <c r="J21" t="s">
        <v>452</v>
      </c>
    </row>
    <row r="22" spans="1:19" x14ac:dyDescent="0.4">
      <c r="A22" s="1">
        <v>87</v>
      </c>
      <c r="B22" s="1" t="s">
        <v>75</v>
      </c>
      <c r="C22" s="2" t="s">
        <v>498</v>
      </c>
    </row>
    <row r="23" spans="1:19" x14ac:dyDescent="0.4">
      <c r="A23" s="1">
        <v>88</v>
      </c>
      <c r="B23" s="1" t="s">
        <v>78</v>
      </c>
      <c r="C23" s="2" t="s">
        <v>501</v>
      </c>
      <c r="D23" t="s">
        <v>495</v>
      </c>
      <c r="E23" t="s">
        <v>502</v>
      </c>
      <c r="F23" t="s">
        <v>503</v>
      </c>
      <c r="G23" t="s">
        <v>504</v>
      </c>
      <c r="H23" t="s">
        <v>500</v>
      </c>
      <c r="I23" t="s">
        <v>505</v>
      </c>
      <c r="J23" t="s">
        <v>506</v>
      </c>
    </row>
    <row r="24" spans="1:19" x14ac:dyDescent="0.4">
      <c r="A24" s="1">
        <v>89</v>
      </c>
      <c r="B24" s="1" t="s">
        <v>80</v>
      </c>
      <c r="C24" s="2" t="s">
        <v>448</v>
      </c>
      <c r="D24" t="s">
        <v>457</v>
      </c>
      <c r="E24" t="s">
        <v>497</v>
      </c>
      <c r="F24" t="s">
        <v>450</v>
      </c>
      <c r="G24" t="s">
        <v>449</v>
      </c>
      <c r="H24" t="s">
        <v>507</v>
      </c>
    </row>
    <row r="25" spans="1:19" x14ac:dyDescent="0.4">
      <c r="A25" s="1">
        <v>94</v>
      </c>
      <c r="B25" s="1" t="s">
        <v>81</v>
      </c>
      <c r="C25" s="2" t="s">
        <v>508</v>
      </c>
      <c r="D25" t="s">
        <v>497</v>
      </c>
    </row>
    <row r="26" spans="1:19" x14ac:dyDescent="0.4">
      <c r="A26" s="1">
        <v>97</v>
      </c>
      <c r="B26" s="1" t="s">
        <v>83</v>
      </c>
      <c r="C26" s="2" t="s">
        <v>448</v>
      </c>
      <c r="D26" t="s">
        <v>457</v>
      </c>
      <c r="E26" t="s">
        <v>450</v>
      </c>
    </row>
    <row r="27" spans="1:19" x14ac:dyDescent="0.4">
      <c r="A27" s="1">
        <v>99</v>
      </c>
      <c r="B27" s="1" t="s">
        <v>87</v>
      </c>
      <c r="C27" s="2" t="s">
        <v>448</v>
      </c>
      <c r="D27" t="s">
        <v>455</v>
      </c>
      <c r="E27" t="s">
        <v>461</v>
      </c>
      <c r="F27" t="s">
        <v>462</v>
      </c>
      <c r="G27" t="s">
        <v>465</v>
      </c>
      <c r="H27" t="s">
        <v>452</v>
      </c>
      <c r="I27" t="s">
        <v>459</v>
      </c>
      <c r="J27" t="s">
        <v>456</v>
      </c>
      <c r="K27" t="s">
        <v>467</v>
      </c>
      <c r="L27" t="s">
        <v>460</v>
      </c>
      <c r="M27" t="s">
        <v>457</v>
      </c>
      <c r="N27" t="s">
        <v>476</v>
      </c>
      <c r="O27" t="s">
        <v>509</v>
      </c>
      <c r="P27" t="s">
        <v>479</v>
      </c>
      <c r="Q27" t="s">
        <v>510</v>
      </c>
      <c r="R27" t="s">
        <v>504</v>
      </c>
      <c r="S27" t="s">
        <v>511</v>
      </c>
    </row>
    <row r="28" spans="1:19" x14ac:dyDescent="0.4">
      <c r="A28" s="1">
        <v>100</v>
      </c>
      <c r="B28" s="1" t="s">
        <v>89</v>
      </c>
      <c r="C28" s="2" t="s">
        <v>512</v>
      </c>
      <c r="D28" t="s">
        <v>448</v>
      </c>
      <c r="E28" t="s">
        <v>457</v>
      </c>
    </row>
    <row r="29" spans="1:19" x14ac:dyDescent="0.4">
      <c r="A29" s="1">
        <v>103</v>
      </c>
      <c r="B29" s="1" t="s">
        <v>93</v>
      </c>
      <c r="C29" s="2" t="s">
        <v>454</v>
      </c>
      <c r="D29" t="s">
        <v>456</v>
      </c>
      <c r="E29" t="s">
        <v>457</v>
      </c>
      <c r="F29" t="s">
        <v>448</v>
      </c>
    </row>
    <row r="30" spans="1:19" x14ac:dyDescent="0.4">
      <c r="A30" s="1">
        <v>111</v>
      </c>
      <c r="B30" s="1" t="s">
        <v>95</v>
      </c>
      <c r="C30" s="2" t="s">
        <v>503</v>
      </c>
      <c r="D30" t="s">
        <v>497</v>
      </c>
    </row>
    <row r="31" spans="1:19" x14ac:dyDescent="0.4">
      <c r="A31" s="1">
        <v>112</v>
      </c>
      <c r="B31" s="1" t="s">
        <v>97</v>
      </c>
      <c r="C31" s="2" t="s">
        <v>477</v>
      </c>
      <c r="D31" t="s">
        <v>448</v>
      </c>
    </row>
    <row r="32" spans="1:19" x14ac:dyDescent="0.4">
      <c r="A32" s="1">
        <v>121</v>
      </c>
      <c r="B32" s="1" t="s">
        <v>99</v>
      </c>
      <c r="C32" s="2" t="s">
        <v>457</v>
      </c>
      <c r="D32" t="s">
        <v>448</v>
      </c>
      <c r="E32" t="s">
        <v>471</v>
      </c>
      <c r="F32" t="s">
        <v>513</v>
      </c>
    </row>
    <row r="33" spans="1:19" x14ac:dyDescent="0.4">
      <c r="A33" s="1">
        <v>122</v>
      </c>
      <c r="B33" s="1" t="s">
        <v>101</v>
      </c>
      <c r="C33" s="2" t="s">
        <v>460</v>
      </c>
      <c r="D33" t="s">
        <v>448</v>
      </c>
      <c r="E33" t="s">
        <v>454</v>
      </c>
      <c r="F33" t="s">
        <v>509</v>
      </c>
      <c r="G33" t="s">
        <v>514</v>
      </c>
    </row>
    <row r="34" spans="1:19" x14ac:dyDescent="0.4">
      <c r="A34" s="1">
        <v>124</v>
      </c>
      <c r="B34" s="1" t="s">
        <v>103</v>
      </c>
      <c r="C34" s="2" t="s">
        <v>457</v>
      </c>
      <c r="D34" t="s">
        <v>456</v>
      </c>
      <c r="E34" t="s">
        <v>448</v>
      </c>
      <c r="F34" t="s">
        <v>455</v>
      </c>
      <c r="G34" t="s">
        <v>464</v>
      </c>
      <c r="H34" t="s">
        <v>463</v>
      </c>
      <c r="I34" t="s">
        <v>479</v>
      </c>
      <c r="J34" t="s">
        <v>459</v>
      </c>
      <c r="K34" t="s">
        <v>460</v>
      </c>
      <c r="L34" t="s">
        <v>476</v>
      </c>
      <c r="M34" t="s">
        <v>515</v>
      </c>
    </row>
    <row r="35" spans="1:19" x14ac:dyDescent="0.4">
      <c r="A35" s="1">
        <v>127</v>
      </c>
      <c r="B35" s="1" t="s">
        <v>104</v>
      </c>
      <c r="C35" s="2" t="s">
        <v>448</v>
      </c>
      <c r="D35" t="s">
        <v>477</v>
      </c>
      <c r="E35" t="s">
        <v>479</v>
      </c>
      <c r="F35" t="s">
        <v>516</v>
      </c>
      <c r="G35" t="s">
        <v>467</v>
      </c>
    </row>
    <row r="36" spans="1:19" x14ac:dyDescent="0.4">
      <c r="A36" s="1">
        <v>129</v>
      </c>
      <c r="B36" s="1" t="s">
        <v>106</v>
      </c>
      <c r="C36" s="2" t="s">
        <v>448</v>
      </c>
      <c r="D36" t="s">
        <v>487</v>
      </c>
      <c r="E36" t="s">
        <v>450</v>
      </c>
      <c r="F36" t="s">
        <v>457</v>
      </c>
      <c r="G36" t="s">
        <v>452</v>
      </c>
      <c r="H36" t="s">
        <v>476</v>
      </c>
    </row>
    <row r="37" spans="1:19" x14ac:dyDescent="0.4">
      <c r="A37" s="1">
        <v>134</v>
      </c>
      <c r="B37" s="1" t="s">
        <v>107</v>
      </c>
      <c r="C37" s="2" t="s">
        <v>448</v>
      </c>
      <c r="D37" t="s">
        <v>500</v>
      </c>
      <c r="E37" t="s">
        <v>452</v>
      </c>
      <c r="F37" t="s">
        <v>457</v>
      </c>
      <c r="G37" t="s">
        <v>459</v>
      </c>
      <c r="H37" t="s">
        <v>476</v>
      </c>
      <c r="I37" t="s">
        <v>517</v>
      </c>
      <c r="J37" t="s">
        <v>463</v>
      </c>
    </row>
    <row r="38" spans="1:19" x14ac:dyDescent="0.4">
      <c r="A38" s="1">
        <v>135</v>
      </c>
      <c r="B38" s="1" t="s">
        <v>109</v>
      </c>
      <c r="C38" s="2" t="s">
        <v>457</v>
      </c>
      <c r="D38" t="s">
        <v>452</v>
      </c>
      <c r="E38" t="s">
        <v>500</v>
      </c>
    </row>
    <row r="39" spans="1:19" x14ac:dyDescent="0.4">
      <c r="A39" s="1">
        <v>139</v>
      </c>
      <c r="B39" s="1" t="s">
        <v>112</v>
      </c>
      <c r="C39" s="2" t="s">
        <v>518</v>
      </c>
      <c r="D39" t="s">
        <v>497</v>
      </c>
    </row>
    <row r="40" spans="1:19" x14ac:dyDescent="0.4">
      <c r="A40" s="1">
        <v>146</v>
      </c>
      <c r="B40" s="1" t="s">
        <v>114</v>
      </c>
      <c r="C40" s="2" t="s">
        <v>519</v>
      </c>
      <c r="D40" t="s">
        <v>520</v>
      </c>
      <c r="E40" t="s">
        <v>521</v>
      </c>
      <c r="F40" t="s">
        <v>522</v>
      </c>
      <c r="G40" t="s">
        <v>451</v>
      </c>
      <c r="H40" t="s">
        <v>523</v>
      </c>
      <c r="I40" t="s">
        <v>510</v>
      </c>
      <c r="J40" t="s">
        <v>463</v>
      </c>
      <c r="K40" t="s">
        <v>524</v>
      </c>
      <c r="L40" t="s">
        <v>525</v>
      </c>
    </row>
    <row r="41" spans="1:19" x14ac:dyDescent="0.4">
      <c r="A41" s="1">
        <v>147</v>
      </c>
      <c r="B41" s="1" t="s">
        <v>118</v>
      </c>
      <c r="C41" s="2" t="s">
        <v>460</v>
      </c>
      <c r="D41" t="s">
        <v>448</v>
      </c>
      <c r="E41" t="s">
        <v>454</v>
      </c>
      <c r="F41" t="s">
        <v>523</v>
      </c>
      <c r="G41" t="s">
        <v>509</v>
      </c>
      <c r="H41" t="s">
        <v>511</v>
      </c>
    </row>
    <row r="42" spans="1:19" x14ac:dyDescent="0.4">
      <c r="A42" s="1">
        <v>150</v>
      </c>
      <c r="B42" s="1" t="s">
        <v>120</v>
      </c>
      <c r="C42" s="2" t="s">
        <v>448</v>
      </c>
      <c r="D42" t="s">
        <v>526</v>
      </c>
      <c r="E42" t="s">
        <v>455</v>
      </c>
      <c r="F42" t="s">
        <v>451</v>
      </c>
      <c r="G42" t="s">
        <v>523</v>
      </c>
      <c r="H42" t="s">
        <v>487</v>
      </c>
    </row>
    <row r="43" spans="1:19" x14ac:dyDescent="0.4">
      <c r="A43" s="1">
        <v>153</v>
      </c>
      <c r="B43" s="1" t="s">
        <v>125</v>
      </c>
      <c r="C43" s="2" t="s">
        <v>448</v>
      </c>
      <c r="D43" t="s">
        <v>485</v>
      </c>
      <c r="E43" t="s">
        <v>507</v>
      </c>
    </row>
    <row r="44" spans="1:19" x14ac:dyDescent="0.4">
      <c r="A44" s="1">
        <v>155</v>
      </c>
      <c r="B44" s="1" t="s">
        <v>130</v>
      </c>
      <c r="C44" s="2" t="s">
        <v>477</v>
      </c>
      <c r="D44" t="s">
        <v>496</v>
      </c>
      <c r="E44" t="s">
        <v>527</v>
      </c>
      <c r="F44" t="s">
        <v>528</v>
      </c>
    </row>
    <row r="45" spans="1:19" x14ac:dyDescent="0.4">
      <c r="A45" s="1">
        <v>156</v>
      </c>
      <c r="B45" s="1" t="s">
        <v>133</v>
      </c>
      <c r="C45" s="2" t="s">
        <v>529</v>
      </c>
      <c r="D45" t="s">
        <v>530</v>
      </c>
      <c r="E45" t="s">
        <v>531</v>
      </c>
      <c r="F45" t="s">
        <v>532</v>
      </c>
      <c r="G45" t="s">
        <v>533</v>
      </c>
      <c r="H45" t="s">
        <v>534</v>
      </c>
      <c r="I45" t="s">
        <v>535</v>
      </c>
      <c r="J45" t="s">
        <v>536</v>
      </c>
      <c r="K45" t="s">
        <v>537</v>
      </c>
      <c r="L45" t="s">
        <v>538</v>
      </c>
      <c r="M45" t="s">
        <v>539</v>
      </c>
      <c r="N45" t="s">
        <v>512</v>
      </c>
      <c r="O45" t="s">
        <v>540</v>
      </c>
      <c r="P45" t="s">
        <v>541</v>
      </c>
      <c r="Q45" t="s">
        <v>542</v>
      </c>
      <c r="R45" t="s">
        <v>543</v>
      </c>
      <c r="S45" t="s">
        <v>544</v>
      </c>
    </row>
    <row r="46" spans="1:19" x14ac:dyDescent="0.4">
      <c r="A46" s="1">
        <v>157</v>
      </c>
      <c r="B46" s="1" t="s">
        <v>138</v>
      </c>
      <c r="C46" s="2" t="s">
        <v>448</v>
      </c>
      <c r="D46" t="s">
        <v>477</v>
      </c>
      <c r="E46" t="s">
        <v>524</v>
      </c>
      <c r="F46" t="s">
        <v>545</v>
      </c>
      <c r="G46" t="s">
        <v>452</v>
      </c>
      <c r="H46" t="s">
        <v>459</v>
      </c>
      <c r="I46" t="s">
        <v>485</v>
      </c>
      <c r="J46" t="s">
        <v>527</v>
      </c>
      <c r="K46" t="s">
        <v>495</v>
      </c>
      <c r="L46" t="s">
        <v>457</v>
      </c>
    </row>
    <row r="47" spans="1:19" x14ac:dyDescent="0.4">
      <c r="A47" s="1">
        <v>158</v>
      </c>
      <c r="B47" s="1" t="s">
        <v>141</v>
      </c>
      <c r="C47" s="2" t="s">
        <v>476</v>
      </c>
      <c r="D47" t="s">
        <v>462</v>
      </c>
      <c r="E47" t="s">
        <v>480</v>
      </c>
      <c r="F47" t="s">
        <v>546</v>
      </c>
      <c r="G47" t="s">
        <v>456</v>
      </c>
      <c r="H47" t="s">
        <v>467</v>
      </c>
      <c r="I47" t="s">
        <v>460</v>
      </c>
      <c r="J47" t="s">
        <v>472</v>
      </c>
      <c r="K47" t="s">
        <v>457</v>
      </c>
    </row>
    <row r="48" spans="1:19" x14ac:dyDescent="0.4">
      <c r="A48" s="1">
        <v>159</v>
      </c>
      <c r="B48" s="1" t="s">
        <v>147</v>
      </c>
      <c r="C48" s="2" t="s">
        <v>450</v>
      </c>
      <c r="D48" t="s">
        <v>448</v>
      </c>
    </row>
    <row r="49" spans="1:23" x14ac:dyDescent="0.4">
      <c r="A49" s="1">
        <v>160</v>
      </c>
      <c r="B49" s="1" t="s">
        <v>152</v>
      </c>
      <c r="C49" s="2" t="s">
        <v>503</v>
      </c>
      <c r="D49" t="s">
        <v>497</v>
      </c>
    </row>
    <row r="50" spans="1:23" x14ac:dyDescent="0.4">
      <c r="A50" s="1">
        <v>164</v>
      </c>
      <c r="B50" s="1" t="s">
        <v>157</v>
      </c>
      <c r="C50" s="2" t="s">
        <v>448</v>
      </c>
      <c r="D50" t="s">
        <v>462</v>
      </c>
      <c r="E50" t="s">
        <v>487</v>
      </c>
      <c r="F50" t="s">
        <v>469</v>
      </c>
    </row>
    <row r="51" spans="1:23" x14ac:dyDescent="0.4">
      <c r="A51" s="1">
        <v>165</v>
      </c>
      <c r="B51" s="1" t="s">
        <v>159</v>
      </c>
      <c r="C51" s="2" t="s">
        <v>499</v>
      </c>
      <c r="D51" t="s">
        <v>476</v>
      </c>
      <c r="E51" t="s">
        <v>462</v>
      </c>
      <c r="F51" t="s">
        <v>479</v>
      </c>
      <c r="G51" t="s">
        <v>464</v>
      </c>
      <c r="H51" t="s">
        <v>478</v>
      </c>
      <c r="I51" t="s">
        <v>452</v>
      </c>
      <c r="J51" t="s">
        <v>455</v>
      </c>
      <c r="K51" t="s">
        <v>547</v>
      </c>
      <c r="L51" t="s">
        <v>490</v>
      </c>
      <c r="M51" t="s">
        <v>459</v>
      </c>
      <c r="N51" t="s">
        <v>474</v>
      </c>
      <c r="O51" t="s">
        <v>458</v>
      </c>
      <c r="P51" t="s">
        <v>456</v>
      </c>
      <c r="Q51" t="s">
        <v>453</v>
      </c>
      <c r="R51" t="s">
        <v>454</v>
      </c>
      <c r="S51" t="s">
        <v>548</v>
      </c>
      <c r="T51" t="s">
        <v>460</v>
      </c>
      <c r="U51" t="s">
        <v>472</v>
      </c>
      <c r="V51" t="s">
        <v>489</v>
      </c>
      <c r="W51" t="s">
        <v>448</v>
      </c>
    </row>
    <row r="52" spans="1:23" x14ac:dyDescent="0.4">
      <c r="A52" s="1">
        <v>175</v>
      </c>
      <c r="B52" s="1" t="s">
        <v>161</v>
      </c>
      <c r="C52" s="2" t="s">
        <v>549</v>
      </c>
      <c r="D52" t="s">
        <v>495</v>
      </c>
      <c r="E52" t="s">
        <v>500</v>
      </c>
      <c r="F52" t="s">
        <v>503</v>
      </c>
      <c r="G52" t="s">
        <v>504</v>
      </c>
      <c r="H52" t="s">
        <v>505</v>
      </c>
      <c r="I52" t="s">
        <v>550</v>
      </c>
    </row>
    <row r="53" spans="1:23" x14ac:dyDescent="0.4">
      <c r="A53" s="1">
        <v>176</v>
      </c>
      <c r="B53" s="1" t="s">
        <v>165</v>
      </c>
      <c r="C53" s="2" t="s">
        <v>491</v>
      </c>
      <c r="D53" t="s">
        <v>448</v>
      </c>
      <c r="E53" t="s">
        <v>460</v>
      </c>
      <c r="F53" t="s">
        <v>457</v>
      </c>
      <c r="G53" t="s">
        <v>474</v>
      </c>
      <c r="H53" t="s">
        <v>526</v>
      </c>
      <c r="I53" t="s">
        <v>451</v>
      </c>
      <c r="J53" t="s">
        <v>459</v>
      </c>
      <c r="K53" t="s">
        <v>455</v>
      </c>
      <c r="L53" t="s">
        <v>489</v>
      </c>
      <c r="M53" t="s">
        <v>467</v>
      </c>
      <c r="N53" t="s">
        <v>546</v>
      </c>
      <c r="O53" t="s">
        <v>476</v>
      </c>
      <c r="P53" t="s">
        <v>472</v>
      </c>
      <c r="Q53" t="s">
        <v>461</v>
      </c>
      <c r="R53" t="s">
        <v>462</v>
      </c>
    </row>
    <row r="54" spans="1:23" x14ac:dyDescent="0.4">
      <c r="A54" s="1">
        <v>177</v>
      </c>
      <c r="B54" s="1" t="s">
        <v>169</v>
      </c>
      <c r="C54" s="2" t="s">
        <v>455</v>
      </c>
      <c r="D54" t="s">
        <v>448</v>
      </c>
      <c r="E54" t="s">
        <v>452</v>
      </c>
      <c r="F54" t="s">
        <v>456</v>
      </c>
      <c r="G54" t="s">
        <v>489</v>
      </c>
    </row>
    <row r="55" spans="1:23" x14ac:dyDescent="0.4">
      <c r="A55" s="1">
        <v>178</v>
      </c>
      <c r="B55" s="1" t="s">
        <v>171</v>
      </c>
      <c r="C55" s="2" t="s">
        <v>551</v>
      </c>
    </row>
    <row r="56" spans="1:23" x14ac:dyDescent="0.4">
      <c r="A56" s="1">
        <v>179</v>
      </c>
      <c r="B56" s="1" t="s">
        <v>173</v>
      </c>
      <c r="C56" s="2" t="s">
        <v>501</v>
      </c>
      <c r="D56" t="s">
        <v>486</v>
      </c>
      <c r="E56" t="s">
        <v>476</v>
      </c>
      <c r="F56" t="s">
        <v>469</v>
      </c>
      <c r="G56" t="s">
        <v>448</v>
      </c>
    </row>
    <row r="57" spans="1:23" x14ac:dyDescent="0.4">
      <c r="A57" s="1">
        <v>184</v>
      </c>
      <c r="B57" s="1" t="s">
        <v>175</v>
      </c>
      <c r="C57" s="2" t="s">
        <v>474</v>
      </c>
      <c r="D57" t="s">
        <v>448</v>
      </c>
    </row>
    <row r="58" spans="1:23" x14ac:dyDescent="0.4">
      <c r="A58" s="1">
        <v>186</v>
      </c>
      <c r="B58" s="1" t="s">
        <v>176</v>
      </c>
      <c r="C58" s="2" t="s">
        <v>459</v>
      </c>
      <c r="D58" t="s">
        <v>490</v>
      </c>
      <c r="E58" t="s">
        <v>457</v>
      </c>
    </row>
    <row r="59" spans="1:23" x14ac:dyDescent="0.4">
      <c r="A59" s="1">
        <v>192</v>
      </c>
      <c r="B59" s="1" t="s">
        <v>177</v>
      </c>
      <c r="C59" s="2" t="s">
        <v>477</v>
      </c>
      <c r="D59" t="s">
        <v>486</v>
      </c>
    </row>
    <row r="60" spans="1:23" x14ac:dyDescent="0.4">
      <c r="A60" s="1">
        <v>194</v>
      </c>
      <c r="B60" s="1" t="s">
        <v>179</v>
      </c>
      <c r="C60" s="2" t="s">
        <v>552</v>
      </c>
      <c r="D60" t="s">
        <v>457</v>
      </c>
      <c r="E60" t="s">
        <v>448</v>
      </c>
      <c r="F60" t="s">
        <v>553</v>
      </c>
    </row>
    <row r="61" spans="1:23" x14ac:dyDescent="0.4">
      <c r="A61" s="1">
        <v>197</v>
      </c>
      <c r="B61" s="1" t="s">
        <v>184</v>
      </c>
      <c r="C61" s="2" t="s">
        <v>554</v>
      </c>
    </row>
    <row r="62" spans="1:23" x14ac:dyDescent="0.4">
      <c r="A62" s="1">
        <v>198</v>
      </c>
      <c r="B62" s="1" t="s">
        <v>186</v>
      </c>
      <c r="C62" s="2" t="s">
        <v>450</v>
      </c>
      <c r="D62" t="s">
        <v>448</v>
      </c>
      <c r="E62" t="s">
        <v>555</v>
      </c>
      <c r="F62" t="s">
        <v>546</v>
      </c>
      <c r="G62" t="s">
        <v>452</v>
      </c>
      <c r="H62" t="s">
        <v>467</v>
      </c>
      <c r="I62" t="s">
        <v>556</v>
      </c>
    </row>
    <row r="63" spans="1:23" x14ac:dyDescent="0.4">
      <c r="A63" s="1">
        <v>199</v>
      </c>
      <c r="B63" s="1" t="s">
        <v>187</v>
      </c>
      <c r="C63" s="2" t="s">
        <v>476</v>
      </c>
      <c r="D63" t="s">
        <v>448</v>
      </c>
      <c r="E63" t="s">
        <v>488</v>
      </c>
      <c r="F63" t="s">
        <v>493</v>
      </c>
    </row>
    <row r="64" spans="1:23" x14ac:dyDescent="0.4">
      <c r="A64" s="1">
        <v>200</v>
      </c>
      <c r="B64" s="1" t="s">
        <v>189</v>
      </c>
      <c r="C64" s="2" t="s">
        <v>460</v>
      </c>
      <c r="D64" t="s">
        <v>448</v>
      </c>
      <c r="E64" t="s">
        <v>461</v>
      </c>
      <c r="F64" t="s">
        <v>478</v>
      </c>
      <c r="G64" t="s">
        <v>547</v>
      </c>
    </row>
    <row r="65" spans="1:24" x14ac:dyDescent="0.4">
      <c r="A65" s="1">
        <v>201</v>
      </c>
      <c r="B65" s="1" t="s">
        <v>192</v>
      </c>
      <c r="C65" s="2" t="s">
        <v>452</v>
      </c>
      <c r="D65" t="s">
        <v>557</v>
      </c>
    </row>
    <row r="66" spans="1:24" x14ac:dyDescent="0.4">
      <c r="A66" s="1">
        <v>203</v>
      </c>
      <c r="B66" s="1" t="s">
        <v>194</v>
      </c>
      <c r="C66" s="2" t="s">
        <v>476</v>
      </c>
      <c r="D66" t="s">
        <v>526</v>
      </c>
      <c r="E66" t="s">
        <v>452</v>
      </c>
      <c r="F66" t="s">
        <v>455</v>
      </c>
      <c r="G66" t="s">
        <v>459</v>
      </c>
      <c r="H66" t="s">
        <v>456</v>
      </c>
      <c r="I66" t="s">
        <v>489</v>
      </c>
      <c r="J66" t="s">
        <v>457</v>
      </c>
      <c r="K66" t="s">
        <v>448</v>
      </c>
    </row>
    <row r="67" spans="1:24" x14ac:dyDescent="0.4">
      <c r="A67" s="1">
        <v>204</v>
      </c>
      <c r="B67" s="1" t="s">
        <v>195</v>
      </c>
      <c r="C67" s="2" t="s">
        <v>448</v>
      </c>
      <c r="D67" t="s">
        <v>450</v>
      </c>
      <c r="E67" t="s">
        <v>558</v>
      </c>
      <c r="F67" t="s">
        <v>476</v>
      </c>
      <c r="G67" t="s">
        <v>457</v>
      </c>
      <c r="H67" t="s">
        <v>452</v>
      </c>
      <c r="I67" t="s">
        <v>459</v>
      </c>
      <c r="J67" t="s">
        <v>517</v>
      </c>
      <c r="K67" t="s">
        <v>463</v>
      </c>
      <c r="L67" t="s">
        <v>500</v>
      </c>
    </row>
    <row r="68" spans="1:24" x14ac:dyDescent="0.4">
      <c r="A68" s="1">
        <v>206</v>
      </c>
      <c r="B68" s="1" t="s">
        <v>198</v>
      </c>
      <c r="C68" s="2" t="s">
        <v>559</v>
      </c>
      <c r="D68" t="s">
        <v>560</v>
      </c>
      <c r="E68" t="s">
        <v>561</v>
      </c>
      <c r="F68" t="s">
        <v>480</v>
      </c>
      <c r="G68" t="s">
        <v>497</v>
      </c>
      <c r="H68" t="s">
        <v>562</v>
      </c>
      <c r="I68" t="s">
        <v>501</v>
      </c>
      <c r="J68" t="s">
        <v>466</v>
      </c>
      <c r="K68" t="s">
        <v>485</v>
      </c>
      <c r="L68" t="s">
        <v>563</v>
      </c>
      <c r="M68" t="s">
        <v>564</v>
      </c>
      <c r="N68" t="s">
        <v>495</v>
      </c>
      <c r="O68" t="s">
        <v>565</v>
      </c>
      <c r="P68" t="s">
        <v>503</v>
      </c>
      <c r="Q68" t="s">
        <v>454</v>
      </c>
      <c r="R68" t="s">
        <v>504</v>
      </c>
      <c r="S68" t="s">
        <v>548</v>
      </c>
      <c r="T68" t="s">
        <v>460</v>
      </c>
      <c r="U68" t="s">
        <v>500</v>
      </c>
      <c r="V68" t="s">
        <v>505</v>
      </c>
      <c r="W68" t="s">
        <v>515</v>
      </c>
      <c r="X68" t="s">
        <v>566</v>
      </c>
    </row>
    <row r="69" spans="1:24" x14ac:dyDescent="0.4">
      <c r="A69" s="1">
        <v>210</v>
      </c>
      <c r="B69" s="1" t="s">
        <v>201</v>
      </c>
      <c r="C69" s="2" t="s">
        <v>553</v>
      </c>
      <c r="D69" t="s">
        <v>448</v>
      </c>
      <c r="E69" t="s">
        <v>469</v>
      </c>
    </row>
    <row r="70" spans="1:24" x14ac:dyDescent="0.4">
      <c r="A70" s="1">
        <v>212</v>
      </c>
      <c r="B70" s="1" t="s">
        <v>203</v>
      </c>
      <c r="C70" s="2" t="s">
        <v>563</v>
      </c>
      <c r="D70" t="s">
        <v>562</v>
      </c>
      <c r="E70" t="s">
        <v>476</v>
      </c>
      <c r="F70" t="s">
        <v>466</v>
      </c>
      <c r="G70" t="s">
        <v>547</v>
      </c>
      <c r="H70" t="s">
        <v>470</v>
      </c>
      <c r="I70" t="s">
        <v>469</v>
      </c>
      <c r="J70" t="s">
        <v>567</v>
      </c>
      <c r="K70" t="s">
        <v>554</v>
      </c>
    </row>
    <row r="71" spans="1:24" x14ac:dyDescent="0.4">
      <c r="A71" s="1">
        <v>213</v>
      </c>
      <c r="B71" s="1" t="s">
        <v>206</v>
      </c>
      <c r="C71" s="2" t="s">
        <v>456</v>
      </c>
      <c r="D71" t="s">
        <v>448</v>
      </c>
      <c r="E71" t="s">
        <v>479</v>
      </c>
      <c r="F71" t="s">
        <v>472</v>
      </c>
      <c r="G71" t="s">
        <v>455</v>
      </c>
      <c r="H71" t="s">
        <v>489</v>
      </c>
      <c r="I71" t="s">
        <v>526</v>
      </c>
      <c r="J71" t="s">
        <v>457</v>
      </c>
      <c r="K71" t="s">
        <v>459</v>
      </c>
    </row>
    <row r="72" spans="1:24" x14ac:dyDescent="0.4">
      <c r="A72" s="1">
        <v>213</v>
      </c>
      <c r="B72" s="1" t="s">
        <v>206</v>
      </c>
      <c r="C72" s="2" t="s">
        <v>562</v>
      </c>
      <c r="D72" t="s">
        <v>448</v>
      </c>
      <c r="E72" t="s">
        <v>479</v>
      </c>
      <c r="F72" t="s">
        <v>476</v>
      </c>
    </row>
    <row r="73" spans="1:24" x14ac:dyDescent="0.4">
      <c r="A73" s="1">
        <v>214</v>
      </c>
      <c r="B73" s="1" t="s">
        <v>209</v>
      </c>
      <c r="C73" s="2" t="s">
        <v>448</v>
      </c>
      <c r="D73" t="s">
        <v>568</v>
      </c>
    </row>
    <row r="74" spans="1:24" x14ac:dyDescent="0.4">
      <c r="A74" s="1">
        <v>215</v>
      </c>
      <c r="B74" s="1" t="s">
        <v>210</v>
      </c>
      <c r="C74" s="2" t="s">
        <v>448</v>
      </c>
      <c r="D74" t="s">
        <v>569</v>
      </c>
    </row>
    <row r="75" spans="1:24" x14ac:dyDescent="0.4">
      <c r="A75" s="1">
        <v>216</v>
      </c>
      <c r="B75" s="1" t="s">
        <v>212</v>
      </c>
      <c r="C75" s="2" t="s">
        <v>448</v>
      </c>
      <c r="D75" t="s">
        <v>450</v>
      </c>
      <c r="E75" t="s">
        <v>526</v>
      </c>
      <c r="F75" t="s">
        <v>570</v>
      </c>
      <c r="G75" t="s">
        <v>456</v>
      </c>
      <c r="H75" t="s">
        <v>571</v>
      </c>
      <c r="I75" t="s">
        <v>572</v>
      </c>
    </row>
    <row r="76" spans="1:24" x14ac:dyDescent="0.4">
      <c r="A76" s="1">
        <v>217</v>
      </c>
      <c r="B76" s="1" t="s">
        <v>215</v>
      </c>
      <c r="C76" s="2" t="s">
        <v>477</v>
      </c>
      <c r="D76" t="s">
        <v>496</v>
      </c>
      <c r="E76" t="s">
        <v>470</v>
      </c>
      <c r="F76" t="s">
        <v>469</v>
      </c>
      <c r="G76" t="s">
        <v>567</v>
      </c>
    </row>
    <row r="77" spans="1:24" x14ac:dyDescent="0.4">
      <c r="A77" s="1">
        <v>218</v>
      </c>
      <c r="B77" s="1" t="s">
        <v>217</v>
      </c>
      <c r="C77" s="2" t="s">
        <v>476</v>
      </c>
      <c r="D77" t="s">
        <v>448</v>
      </c>
      <c r="E77" t="s">
        <v>457</v>
      </c>
      <c r="F77" t="s">
        <v>493</v>
      </c>
      <c r="G77" t="s">
        <v>455</v>
      </c>
      <c r="H77" t="s">
        <v>452</v>
      </c>
      <c r="I77" t="s">
        <v>456</v>
      </c>
      <c r="J77" t="s">
        <v>472</v>
      </c>
      <c r="K77" t="s">
        <v>459</v>
      </c>
      <c r="L77" t="s">
        <v>461</v>
      </c>
      <c r="M77" t="s">
        <v>478</v>
      </c>
      <c r="N77" t="s">
        <v>462</v>
      </c>
      <c r="O77" t="s">
        <v>571</v>
      </c>
      <c r="P77" t="s">
        <v>458</v>
      </c>
      <c r="Q77" t="s">
        <v>474</v>
      </c>
      <c r="R77" t="s">
        <v>467</v>
      </c>
      <c r="S77" t="s">
        <v>460</v>
      </c>
      <c r="T77" t="s">
        <v>573</v>
      </c>
    </row>
    <row r="78" spans="1:24" x14ac:dyDescent="0.4">
      <c r="A78" s="1">
        <v>226</v>
      </c>
      <c r="B78" s="1" t="s">
        <v>218</v>
      </c>
      <c r="C78" s="2" t="s">
        <v>448</v>
      </c>
      <c r="D78" t="s">
        <v>474</v>
      </c>
    </row>
    <row r="79" spans="1:24" x14ac:dyDescent="0.4">
      <c r="A79" s="1">
        <v>228</v>
      </c>
      <c r="B79" s="1" t="s">
        <v>225</v>
      </c>
      <c r="C79" s="2" t="s">
        <v>477</v>
      </c>
      <c r="D79" t="s">
        <v>476</v>
      </c>
      <c r="E79" t="s">
        <v>479</v>
      </c>
      <c r="F79" t="s">
        <v>468</v>
      </c>
    </row>
    <row r="80" spans="1:24" x14ac:dyDescent="0.4">
      <c r="A80" s="1">
        <v>229</v>
      </c>
      <c r="B80" s="1" t="s">
        <v>227</v>
      </c>
      <c r="C80" s="2" t="s">
        <v>560</v>
      </c>
      <c r="D80" t="s">
        <v>561</v>
      </c>
      <c r="E80" t="s">
        <v>501</v>
      </c>
      <c r="F80" t="s">
        <v>564</v>
      </c>
      <c r="G80" t="s">
        <v>495</v>
      </c>
      <c r="H80" t="s">
        <v>502</v>
      </c>
      <c r="I80" t="s">
        <v>477</v>
      </c>
      <c r="J80" t="s">
        <v>503</v>
      </c>
      <c r="K80" t="s">
        <v>504</v>
      </c>
      <c r="L80" t="s">
        <v>500</v>
      </c>
      <c r="M80" t="s">
        <v>505</v>
      </c>
    </row>
    <row r="81" spans="1:18" x14ac:dyDescent="0.4">
      <c r="A81" s="1">
        <v>232</v>
      </c>
      <c r="B81" s="1" t="s">
        <v>229</v>
      </c>
      <c r="C81" s="2" t="s">
        <v>448</v>
      </c>
      <c r="D81" t="s">
        <v>469</v>
      </c>
    </row>
    <row r="82" spans="1:18" x14ac:dyDescent="0.4">
      <c r="A82" s="1">
        <v>234</v>
      </c>
      <c r="B82" s="1" t="s">
        <v>230</v>
      </c>
      <c r="C82" s="2" t="s">
        <v>554</v>
      </c>
    </row>
    <row r="83" spans="1:18" x14ac:dyDescent="0.4">
      <c r="A83" s="1">
        <v>235</v>
      </c>
      <c r="B83" s="1" t="s">
        <v>231</v>
      </c>
      <c r="C83" s="2" t="s">
        <v>574</v>
      </c>
      <c r="D83" t="s">
        <v>448</v>
      </c>
    </row>
    <row r="84" spans="1:18" x14ac:dyDescent="0.4">
      <c r="A84" s="1">
        <v>237</v>
      </c>
      <c r="B84" s="1" t="s">
        <v>235</v>
      </c>
      <c r="C84" s="2" t="s">
        <v>448</v>
      </c>
      <c r="D84" t="s">
        <v>456</v>
      </c>
      <c r="E84" t="s">
        <v>459</v>
      </c>
    </row>
    <row r="85" spans="1:18" x14ac:dyDescent="0.4">
      <c r="A85" s="1">
        <v>243</v>
      </c>
      <c r="B85" s="1" t="s">
        <v>238</v>
      </c>
      <c r="C85" s="2" t="s">
        <v>563</v>
      </c>
      <c r="D85" t="s">
        <v>503</v>
      </c>
      <c r="E85" t="s">
        <v>448</v>
      </c>
      <c r="F85" t="s">
        <v>455</v>
      </c>
      <c r="G85" t="s">
        <v>489</v>
      </c>
      <c r="H85" t="s">
        <v>487</v>
      </c>
      <c r="I85" t="s">
        <v>523</v>
      </c>
      <c r="J85" t="s">
        <v>476</v>
      </c>
      <c r="K85" t="s">
        <v>507</v>
      </c>
      <c r="L85" t="s">
        <v>503</v>
      </c>
      <c r="M85" t="s">
        <v>448</v>
      </c>
      <c r="N85" t="s">
        <v>455</v>
      </c>
      <c r="O85" t="s">
        <v>489</v>
      </c>
      <c r="P85" t="s">
        <v>487</v>
      </c>
      <c r="Q85" t="s">
        <v>523</v>
      </c>
      <c r="R85" t="s">
        <v>476</v>
      </c>
    </row>
    <row r="86" spans="1:18" x14ac:dyDescent="0.4">
      <c r="A86" s="1">
        <v>244</v>
      </c>
      <c r="B86" s="1" t="s">
        <v>242</v>
      </c>
      <c r="C86" s="2" t="s">
        <v>562</v>
      </c>
      <c r="D86" t="s">
        <v>448</v>
      </c>
      <c r="E86" t="s">
        <v>575</v>
      </c>
    </row>
    <row r="87" spans="1:18" x14ac:dyDescent="0.4">
      <c r="A87" s="1">
        <v>248</v>
      </c>
      <c r="B87" s="1" t="s">
        <v>245</v>
      </c>
      <c r="C87" s="2" t="s">
        <v>448</v>
      </c>
      <c r="D87" t="s">
        <v>456</v>
      </c>
      <c r="E87" t="s">
        <v>452</v>
      </c>
      <c r="F87" t="s">
        <v>455</v>
      </c>
      <c r="G87" t="s">
        <v>454</v>
      </c>
      <c r="H87" t="s">
        <v>474</v>
      </c>
    </row>
    <row r="88" spans="1:18" x14ac:dyDescent="0.4">
      <c r="A88" s="1">
        <v>249</v>
      </c>
      <c r="B88" s="1" t="s">
        <v>247</v>
      </c>
      <c r="C88" s="2" t="s">
        <v>448</v>
      </c>
      <c r="D88" t="s">
        <v>457</v>
      </c>
      <c r="E88" t="s">
        <v>476</v>
      </c>
      <c r="F88" t="s">
        <v>479</v>
      </c>
      <c r="G88" t="s">
        <v>455</v>
      </c>
      <c r="H88" t="s">
        <v>456</v>
      </c>
      <c r="I88" t="s">
        <v>472</v>
      </c>
      <c r="J88" t="s">
        <v>576</v>
      </c>
    </row>
    <row r="89" spans="1:18" x14ac:dyDescent="0.4">
      <c r="A89" s="1">
        <v>253</v>
      </c>
      <c r="B89" s="1" t="s">
        <v>250</v>
      </c>
      <c r="C89" s="2" t="s">
        <v>562</v>
      </c>
      <c r="D89" t="s">
        <v>448</v>
      </c>
      <c r="E89" t="s">
        <v>457</v>
      </c>
      <c r="F89" t="s">
        <v>504</v>
      </c>
      <c r="G89" t="s">
        <v>455</v>
      </c>
    </row>
    <row r="90" spans="1:18" x14ac:dyDescent="0.4">
      <c r="A90" s="1">
        <v>254</v>
      </c>
      <c r="B90" s="1" t="s">
        <v>253</v>
      </c>
      <c r="C90" s="2" t="s">
        <v>476</v>
      </c>
      <c r="D90" t="s">
        <v>448</v>
      </c>
    </row>
    <row r="91" spans="1:18" x14ac:dyDescent="0.4">
      <c r="A91" s="1">
        <v>262</v>
      </c>
      <c r="B91" s="1" t="s">
        <v>254</v>
      </c>
      <c r="C91" s="2" t="s">
        <v>577</v>
      </c>
      <c r="D91" t="s">
        <v>477</v>
      </c>
      <c r="E91" t="s">
        <v>516</v>
      </c>
      <c r="F91" t="s">
        <v>578</v>
      </c>
      <c r="G91" t="s">
        <v>579</v>
      </c>
    </row>
    <row r="92" spans="1:18" x14ac:dyDescent="0.4">
      <c r="A92" s="1">
        <v>263</v>
      </c>
      <c r="B92" s="1" t="s">
        <v>258</v>
      </c>
      <c r="C92" s="2" t="s">
        <v>448</v>
      </c>
      <c r="D92" t="s">
        <v>455</v>
      </c>
      <c r="E92" t="s">
        <v>456</v>
      </c>
      <c r="F92" t="s">
        <v>457</v>
      </c>
      <c r="G92" t="s">
        <v>479</v>
      </c>
      <c r="H92" t="s">
        <v>452</v>
      </c>
      <c r="I92" t="s">
        <v>454</v>
      </c>
      <c r="J92" t="s">
        <v>458</v>
      </c>
      <c r="K92" t="s">
        <v>472</v>
      </c>
      <c r="L92" t="s">
        <v>453</v>
      </c>
      <c r="M92" t="s">
        <v>491</v>
      </c>
      <c r="N92" t="s">
        <v>460</v>
      </c>
      <c r="O92" t="s">
        <v>580</v>
      </c>
    </row>
    <row r="93" spans="1:18" x14ac:dyDescent="0.4">
      <c r="A93" s="1">
        <v>264</v>
      </c>
      <c r="B93" s="1" t="s">
        <v>260</v>
      </c>
      <c r="C93" s="2" t="s">
        <v>448</v>
      </c>
      <c r="D93" t="s">
        <v>460</v>
      </c>
      <c r="E93" t="s">
        <v>487</v>
      </c>
      <c r="F93" t="s">
        <v>455</v>
      </c>
      <c r="G93" t="s">
        <v>459</v>
      </c>
      <c r="H93" t="s">
        <v>581</v>
      </c>
      <c r="I93" t="s">
        <v>582</v>
      </c>
      <c r="J93" t="s">
        <v>492</v>
      </c>
    </row>
    <row r="94" spans="1:18" x14ac:dyDescent="0.4">
      <c r="A94" s="1">
        <v>265</v>
      </c>
      <c r="B94" s="1" t="s">
        <v>262</v>
      </c>
      <c r="C94" s="2" t="s">
        <v>583</v>
      </c>
      <c r="D94" t="s">
        <v>452</v>
      </c>
      <c r="E94" t="s">
        <v>448</v>
      </c>
      <c r="F94" t="s">
        <v>457</v>
      </c>
      <c r="G94" t="s">
        <v>455</v>
      </c>
      <c r="H94" t="s">
        <v>584</v>
      </c>
      <c r="I94" t="s">
        <v>585</v>
      </c>
    </row>
    <row r="95" spans="1:18" x14ac:dyDescent="0.4">
      <c r="A95" s="1">
        <v>282</v>
      </c>
      <c r="B95" s="1" t="s">
        <v>263</v>
      </c>
      <c r="C95" s="2" t="s">
        <v>551</v>
      </c>
    </row>
    <row r="96" spans="1:18" x14ac:dyDescent="0.4">
      <c r="A96" s="1">
        <v>285</v>
      </c>
      <c r="B96" s="1" t="s">
        <v>266</v>
      </c>
      <c r="C96" s="2" t="s">
        <v>455</v>
      </c>
      <c r="D96" t="s">
        <v>461</v>
      </c>
      <c r="E96" t="s">
        <v>465</v>
      </c>
      <c r="F96" t="s">
        <v>456</v>
      </c>
      <c r="G96" t="s">
        <v>453</v>
      </c>
    </row>
    <row r="97" spans="1:20" x14ac:dyDescent="0.4">
      <c r="A97" s="1">
        <v>289</v>
      </c>
      <c r="B97" s="1" t="s">
        <v>268</v>
      </c>
      <c r="C97" s="2" t="s">
        <v>583</v>
      </c>
      <c r="D97" t="s">
        <v>489</v>
      </c>
      <c r="E97" t="s">
        <v>477</v>
      </c>
    </row>
    <row r="98" spans="1:20" x14ac:dyDescent="0.4">
      <c r="A98" s="1">
        <v>290</v>
      </c>
      <c r="B98" s="1" t="s">
        <v>269</v>
      </c>
      <c r="C98" s="2" t="s">
        <v>457</v>
      </c>
      <c r="D98" t="s">
        <v>500</v>
      </c>
      <c r="E98" t="s">
        <v>503</v>
      </c>
      <c r="F98" t="s">
        <v>554</v>
      </c>
      <c r="G98" t="s">
        <v>586</v>
      </c>
      <c r="H98" t="s">
        <v>469</v>
      </c>
      <c r="I98" t="s">
        <v>567</v>
      </c>
    </row>
    <row r="99" spans="1:20" x14ac:dyDescent="0.4">
      <c r="A99" s="1">
        <v>293</v>
      </c>
      <c r="B99" s="1" t="s">
        <v>270</v>
      </c>
      <c r="C99" s="2" t="s">
        <v>501</v>
      </c>
      <c r="D99" t="s">
        <v>495</v>
      </c>
    </row>
    <row r="100" spans="1:20" x14ac:dyDescent="0.4">
      <c r="A100" s="1">
        <v>301</v>
      </c>
      <c r="B100" s="1" t="s">
        <v>271</v>
      </c>
      <c r="C100" s="2" t="s">
        <v>476</v>
      </c>
      <c r="D100" t="s">
        <v>479</v>
      </c>
      <c r="E100" t="s">
        <v>452</v>
      </c>
      <c r="F100" t="s">
        <v>587</v>
      </c>
      <c r="G100" t="s">
        <v>466</v>
      </c>
      <c r="H100" t="s">
        <v>459</v>
      </c>
      <c r="I100" t="s">
        <v>456</v>
      </c>
      <c r="J100" t="s">
        <v>472</v>
      </c>
      <c r="K100" t="s">
        <v>448</v>
      </c>
    </row>
    <row r="101" spans="1:20" x14ac:dyDescent="0.4">
      <c r="A101" s="1">
        <v>306</v>
      </c>
      <c r="B101" s="1" t="s">
        <v>274</v>
      </c>
      <c r="C101" s="2" t="s">
        <v>448</v>
      </c>
      <c r="D101" t="s">
        <v>449</v>
      </c>
      <c r="E101" t="s">
        <v>497</v>
      </c>
      <c r="F101" t="s">
        <v>588</v>
      </c>
      <c r="G101" t="s">
        <v>562</v>
      </c>
      <c r="H101" t="s">
        <v>589</v>
      </c>
      <c r="I101" t="s">
        <v>469</v>
      </c>
    </row>
    <row r="102" spans="1:20" x14ac:dyDescent="0.4">
      <c r="A102" s="1">
        <v>307</v>
      </c>
      <c r="B102" s="1" t="s">
        <v>279</v>
      </c>
      <c r="C102" s="2" t="s">
        <v>479</v>
      </c>
      <c r="D102" t="s">
        <v>448</v>
      </c>
      <c r="E102" t="s">
        <v>457</v>
      </c>
      <c r="F102" t="s">
        <v>452</v>
      </c>
      <c r="G102" t="s">
        <v>455</v>
      </c>
      <c r="H102" t="s">
        <v>456</v>
      </c>
      <c r="I102" t="s">
        <v>472</v>
      </c>
      <c r="J102" t="s">
        <v>476</v>
      </c>
      <c r="K102" t="s">
        <v>493</v>
      </c>
      <c r="L102" t="s">
        <v>489</v>
      </c>
      <c r="M102" t="s">
        <v>467</v>
      </c>
      <c r="N102" t="s">
        <v>546</v>
      </c>
      <c r="O102" t="s">
        <v>478</v>
      </c>
      <c r="P102" t="s">
        <v>453</v>
      </c>
      <c r="Q102" t="s">
        <v>465</v>
      </c>
      <c r="R102" t="s">
        <v>491</v>
      </c>
      <c r="S102" t="s">
        <v>454</v>
      </c>
      <c r="T102" t="s">
        <v>590</v>
      </c>
    </row>
    <row r="103" spans="1:20" x14ac:dyDescent="0.4">
      <c r="A103" s="1">
        <v>312</v>
      </c>
      <c r="B103" s="1" t="s">
        <v>283</v>
      </c>
      <c r="C103" s="2" t="s">
        <v>457</v>
      </c>
      <c r="D103" t="s">
        <v>448</v>
      </c>
      <c r="E103" t="s">
        <v>452</v>
      </c>
      <c r="F103" t="s">
        <v>450</v>
      </c>
      <c r="G103" t="s">
        <v>591</v>
      </c>
    </row>
    <row r="104" spans="1:20" x14ac:dyDescent="0.4">
      <c r="A104" s="1">
        <v>313</v>
      </c>
      <c r="B104" s="1" t="s">
        <v>286</v>
      </c>
      <c r="C104" s="2" t="s">
        <v>457</v>
      </c>
      <c r="D104" t="s">
        <v>448</v>
      </c>
      <c r="E104" t="s">
        <v>476</v>
      </c>
      <c r="F104" t="s">
        <v>479</v>
      </c>
      <c r="G104" t="s">
        <v>455</v>
      </c>
      <c r="H104" t="s">
        <v>456</v>
      </c>
      <c r="I104" t="s">
        <v>592</v>
      </c>
    </row>
    <row r="105" spans="1:20" x14ac:dyDescent="0.4">
      <c r="A105" s="1">
        <v>320</v>
      </c>
      <c r="B105" s="1" t="s">
        <v>288</v>
      </c>
      <c r="C105" s="2" t="s">
        <v>448</v>
      </c>
      <c r="D105" t="s">
        <v>456</v>
      </c>
    </row>
    <row r="106" spans="1:20" x14ac:dyDescent="0.4">
      <c r="A106" s="1">
        <v>324</v>
      </c>
      <c r="B106" s="1" t="s">
        <v>290</v>
      </c>
      <c r="C106" s="2" t="s">
        <v>448</v>
      </c>
      <c r="D106" t="s">
        <v>519</v>
      </c>
      <c r="E106" t="s">
        <v>517</v>
      </c>
      <c r="F106" t="s">
        <v>495</v>
      </c>
    </row>
    <row r="107" spans="1:20" x14ac:dyDescent="0.4">
      <c r="A107" s="1">
        <v>327</v>
      </c>
      <c r="B107" s="1" t="s">
        <v>293</v>
      </c>
      <c r="C107" s="2" t="s">
        <v>503</v>
      </c>
      <c r="D107" t="s">
        <v>561</v>
      </c>
      <c r="E107" t="s">
        <v>564</v>
      </c>
      <c r="F107" t="s">
        <v>502</v>
      </c>
      <c r="G107" t="s">
        <v>504</v>
      </c>
      <c r="H107" t="s">
        <v>514</v>
      </c>
      <c r="I107" t="s">
        <v>505</v>
      </c>
      <c r="J107" t="s">
        <v>527</v>
      </c>
      <c r="K107" t="s">
        <v>575</v>
      </c>
      <c r="L107" t="s">
        <v>569</v>
      </c>
    </row>
    <row r="108" spans="1:20" x14ac:dyDescent="0.4">
      <c r="A108" s="1">
        <v>336</v>
      </c>
      <c r="B108" s="1" t="s">
        <v>295</v>
      </c>
      <c r="C108" s="2" t="s">
        <v>476</v>
      </c>
      <c r="D108" t="s">
        <v>461</v>
      </c>
      <c r="E108" t="s">
        <v>462</v>
      </c>
      <c r="F108" t="s">
        <v>483</v>
      </c>
      <c r="G108" t="s">
        <v>494</v>
      </c>
    </row>
    <row r="109" spans="1:20" x14ac:dyDescent="0.4">
      <c r="A109" s="1">
        <v>337</v>
      </c>
      <c r="B109" s="1" t="s">
        <v>296</v>
      </c>
      <c r="C109" s="2" t="s">
        <v>477</v>
      </c>
      <c r="D109" t="s">
        <v>448</v>
      </c>
      <c r="E109" t="s">
        <v>457</v>
      </c>
      <c r="F109" t="s">
        <v>452</v>
      </c>
      <c r="G109" t="s">
        <v>455</v>
      </c>
      <c r="H109" t="s">
        <v>459</v>
      </c>
      <c r="I109" t="s">
        <v>460</v>
      </c>
      <c r="J109" t="s">
        <v>456</v>
      </c>
      <c r="K109" t="s">
        <v>496</v>
      </c>
      <c r="L109" t="s">
        <v>580</v>
      </c>
    </row>
    <row r="110" spans="1:20" x14ac:dyDescent="0.4">
      <c r="A110" s="1">
        <v>339</v>
      </c>
      <c r="B110" s="1" t="s">
        <v>299</v>
      </c>
      <c r="C110" s="2" t="s">
        <v>499</v>
      </c>
      <c r="D110" t="s">
        <v>448</v>
      </c>
      <c r="E110" t="s">
        <v>476</v>
      </c>
    </row>
    <row r="111" spans="1:20" x14ac:dyDescent="0.4">
      <c r="A111" s="1">
        <v>341</v>
      </c>
      <c r="B111" s="1" t="s">
        <v>304</v>
      </c>
      <c r="C111" s="2" t="s">
        <v>448</v>
      </c>
      <c r="D111" t="s">
        <v>504</v>
      </c>
      <c r="E111" t="s">
        <v>593</v>
      </c>
    </row>
    <row r="112" spans="1:20" x14ac:dyDescent="0.4">
      <c r="A112" s="1">
        <v>342</v>
      </c>
      <c r="B112" s="1" t="s">
        <v>307</v>
      </c>
      <c r="C112" s="2" t="s">
        <v>477</v>
      </c>
      <c r="D112" t="s">
        <v>563</v>
      </c>
      <c r="E112" t="s">
        <v>497</v>
      </c>
      <c r="F112" t="s">
        <v>448</v>
      </c>
      <c r="G112" t="s">
        <v>457</v>
      </c>
      <c r="H112" t="s">
        <v>452</v>
      </c>
      <c r="I112" t="s">
        <v>471</v>
      </c>
    </row>
    <row r="113" spans="1:21" x14ac:dyDescent="0.4">
      <c r="A113" s="1">
        <v>343</v>
      </c>
      <c r="B113" s="1" t="s">
        <v>308</v>
      </c>
      <c r="C113" s="2" t="s">
        <v>457</v>
      </c>
      <c r="D113" t="s">
        <v>448</v>
      </c>
      <c r="E113" t="s">
        <v>452</v>
      </c>
      <c r="F113" t="s">
        <v>455</v>
      </c>
      <c r="G113" t="s">
        <v>485</v>
      </c>
      <c r="H113" t="s">
        <v>476</v>
      </c>
      <c r="I113" t="s">
        <v>493</v>
      </c>
      <c r="J113" t="s">
        <v>479</v>
      </c>
      <c r="K113" t="s">
        <v>467</v>
      </c>
      <c r="L113" t="s">
        <v>525</v>
      </c>
    </row>
    <row r="114" spans="1:21" x14ac:dyDescent="0.4">
      <c r="A114" s="1">
        <v>347</v>
      </c>
      <c r="B114" s="1" t="s">
        <v>311</v>
      </c>
      <c r="C114" s="2" t="s">
        <v>562</v>
      </c>
      <c r="D114" t="s">
        <v>561</v>
      </c>
      <c r="E114" t="s">
        <v>502</v>
      </c>
      <c r="F114" t="s">
        <v>564</v>
      </c>
    </row>
    <row r="115" spans="1:21" x14ac:dyDescent="0.4">
      <c r="A115" s="1">
        <v>353</v>
      </c>
      <c r="B115" s="1" t="s">
        <v>314</v>
      </c>
      <c r="C115" s="2" t="s">
        <v>448</v>
      </c>
      <c r="D115" t="s">
        <v>457</v>
      </c>
      <c r="E115" t="s">
        <v>495</v>
      </c>
      <c r="F115" t="s">
        <v>594</v>
      </c>
    </row>
    <row r="116" spans="1:21" x14ac:dyDescent="0.4">
      <c r="A116" s="1">
        <v>354</v>
      </c>
      <c r="B116" s="1" t="s">
        <v>315</v>
      </c>
      <c r="C116" s="2" t="s">
        <v>595</v>
      </c>
      <c r="D116" t="s">
        <v>497</v>
      </c>
      <c r="E116" t="s">
        <v>577</v>
      </c>
      <c r="F116" t="s">
        <v>504</v>
      </c>
      <c r="G116" t="s">
        <v>596</v>
      </c>
      <c r="H116" t="s">
        <v>543</v>
      </c>
    </row>
    <row r="117" spans="1:21" x14ac:dyDescent="0.4">
      <c r="A117" s="1">
        <v>358</v>
      </c>
      <c r="B117" s="1" t="s">
        <v>318</v>
      </c>
      <c r="C117" s="2" t="s">
        <v>457</v>
      </c>
      <c r="D117" t="s">
        <v>448</v>
      </c>
      <c r="E117" t="s">
        <v>460</v>
      </c>
    </row>
    <row r="118" spans="1:21" x14ac:dyDescent="0.4">
      <c r="A118" s="1">
        <v>359</v>
      </c>
      <c r="B118" s="1" t="s">
        <v>320</v>
      </c>
      <c r="C118" s="2" t="s">
        <v>462</v>
      </c>
      <c r="D118" t="s">
        <v>456</v>
      </c>
      <c r="E118" t="s">
        <v>469</v>
      </c>
    </row>
    <row r="119" spans="1:21" x14ac:dyDescent="0.4">
      <c r="A119" s="1">
        <v>368</v>
      </c>
      <c r="B119" s="1" t="s">
        <v>322</v>
      </c>
      <c r="C119" s="2" t="s">
        <v>562</v>
      </c>
      <c r="D119" t="s">
        <v>497</v>
      </c>
    </row>
    <row r="120" spans="1:21" x14ac:dyDescent="0.4">
      <c r="A120" s="1">
        <v>369</v>
      </c>
      <c r="B120" s="1" t="s">
        <v>324</v>
      </c>
      <c r="C120" s="2" t="s">
        <v>562</v>
      </c>
      <c r="D120" t="s">
        <v>597</v>
      </c>
    </row>
    <row r="121" spans="1:21" x14ac:dyDescent="0.4">
      <c r="A121" s="1">
        <v>371</v>
      </c>
      <c r="B121" s="1" t="s">
        <v>328</v>
      </c>
      <c r="C121" s="2" t="s">
        <v>477</v>
      </c>
      <c r="D121" t="s">
        <v>457</v>
      </c>
      <c r="E121" t="s">
        <v>452</v>
      </c>
      <c r="F121" t="s">
        <v>551</v>
      </c>
    </row>
    <row r="122" spans="1:21" x14ac:dyDescent="0.4">
      <c r="A122" s="1">
        <v>373</v>
      </c>
      <c r="B122" s="1" t="s">
        <v>329</v>
      </c>
      <c r="C122" s="2" t="s">
        <v>527</v>
      </c>
      <c r="D122" t="s">
        <v>543</v>
      </c>
      <c r="E122" t="s">
        <v>477</v>
      </c>
      <c r="F122" t="s">
        <v>497</v>
      </c>
      <c r="G122" t="s">
        <v>598</v>
      </c>
      <c r="H122" t="s">
        <v>577</v>
      </c>
      <c r="I122" t="s">
        <v>599</v>
      </c>
    </row>
    <row r="123" spans="1:21" x14ac:dyDescent="0.4">
      <c r="A123" s="1">
        <v>376</v>
      </c>
      <c r="B123" s="1" t="s">
        <v>331</v>
      </c>
      <c r="C123" s="2" t="s">
        <v>574</v>
      </c>
      <c r="D123" t="s">
        <v>448</v>
      </c>
    </row>
    <row r="124" spans="1:21" x14ac:dyDescent="0.4">
      <c r="A124" s="1">
        <v>377</v>
      </c>
      <c r="B124" s="1" t="s">
        <v>333</v>
      </c>
      <c r="C124" s="2" t="s">
        <v>477</v>
      </c>
      <c r="D124" t="s">
        <v>496</v>
      </c>
      <c r="E124" t="s">
        <v>527</v>
      </c>
      <c r="F124" t="s">
        <v>545</v>
      </c>
      <c r="G124" t="s">
        <v>600</v>
      </c>
      <c r="H124" t="s">
        <v>577</v>
      </c>
      <c r="I124" t="s">
        <v>529</v>
      </c>
      <c r="J124" t="s">
        <v>601</v>
      </c>
      <c r="K124" t="s">
        <v>602</v>
      </c>
      <c r="L124" t="s">
        <v>583</v>
      </c>
      <c r="M124" t="s">
        <v>603</v>
      </c>
      <c r="N124" t="s">
        <v>604</v>
      </c>
      <c r="O124" t="s">
        <v>516</v>
      </c>
      <c r="P124" t="s">
        <v>589</v>
      </c>
      <c r="Q124" t="s">
        <v>605</v>
      </c>
      <c r="R124" t="s">
        <v>606</v>
      </c>
      <c r="S124" t="s">
        <v>542</v>
      </c>
      <c r="T124" t="s">
        <v>595</v>
      </c>
      <c r="U124" t="s">
        <v>607</v>
      </c>
    </row>
    <row r="125" spans="1:21" x14ac:dyDescent="0.4">
      <c r="A125" s="1">
        <v>378</v>
      </c>
      <c r="B125" s="1" t="s">
        <v>336</v>
      </c>
      <c r="C125" s="2" t="s">
        <v>562</v>
      </c>
      <c r="D125" t="s">
        <v>448</v>
      </c>
    </row>
    <row r="126" spans="1:21" x14ac:dyDescent="0.4">
      <c r="A126" s="1">
        <v>379</v>
      </c>
      <c r="B126" s="1" t="s">
        <v>338</v>
      </c>
      <c r="C126" s="2" t="s">
        <v>476</v>
      </c>
      <c r="D126" t="s">
        <v>457</v>
      </c>
      <c r="E126" t="s">
        <v>479</v>
      </c>
      <c r="F126" t="s">
        <v>466</v>
      </c>
    </row>
    <row r="127" spans="1:21" x14ac:dyDescent="0.4">
      <c r="A127" s="1">
        <v>380</v>
      </c>
      <c r="B127" s="1" t="s">
        <v>339</v>
      </c>
      <c r="C127" s="2" t="s">
        <v>608</v>
      </c>
      <c r="D127" t="s">
        <v>497</v>
      </c>
      <c r="E127" t="s">
        <v>562</v>
      </c>
      <c r="F127" t="s">
        <v>500</v>
      </c>
      <c r="G127" t="s">
        <v>505</v>
      </c>
      <c r="H127" t="s">
        <v>609</v>
      </c>
    </row>
    <row r="128" spans="1:21" x14ac:dyDescent="0.4">
      <c r="A128" s="1">
        <v>383</v>
      </c>
      <c r="B128" s="1" t="s">
        <v>341</v>
      </c>
      <c r="C128" s="2" t="s">
        <v>455</v>
      </c>
      <c r="D128" t="s">
        <v>458</v>
      </c>
      <c r="E128" t="s">
        <v>448</v>
      </c>
    </row>
    <row r="129" spans="1:11" x14ac:dyDescent="0.4">
      <c r="A129" s="1">
        <v>384</v>
      </c>
      <c r="B129" s="1" t="s">
        <v>343</v>
      </c>
      <c r="C129" s="2" t="s">
        <v>503</v>
      </c>
      <c r="D129" t="s">
        <v>448</v>
      </c>
    </row>
    <row r="130" spans="1:11" x14ac:dyDescent="0.4">
      <c r="A130" s="1">
        <v>389</v>
      </c>
      <c r="B130" s="1" t="s">
        <v>345</v>
      </c>
      <c r="C130" s="2" t="s">
        <v>448</v>
      </c>
      <c r="D130" t="s">
        <v>502</v>
      </c>
      <c r="E130" t="s">
        <v>500</v>
      </c>
    </row>
    <row r="131" spans="1:11" x14ac:dyDescent="0.4">
      <c r="A131" s="1">
        <v>394</v>
      </c>
      <c r="B131" s="1" t="s">
        <v>346</v>
      </c>
      <c r="C131" s="2" t="s">
        <v>448</v>
      </c>
      <c r="D131" t="s">
        <v>568</v>
      </c>
      <c r="E131" t="s">
        <v>469</v>
      </c>
    </row>
    <row r="132" spans="1:11" x14ac:dyDescent="0.4">
      <c r="A132" s="1">
        <v>396</v>
      </c>
      <c r="B132" s="1" t="s">
        <v>347</v>
      </c>
      <c r="C132" s="2" t="s">
        <v>561</v>
      </c>
      <c r="D132" t="s">
        <v>564</v>
      </c>
      <c r="E132" t="s">
        <v>502</v>
      </c>
      <c r="F132" t="s">
        <v>503</v>
      </c>
      <c r="G132" t="s">
        <v>495</v>
      </c>
      <c r="H132" t="s">
        <v>593</v>
      </c>
    </row>
    <row r="133" spans="1:11" x14ac:dyDescent="0.4">
      <c r="A133" s="1">
        <v>397</v>
      </c>
      <c r="B133" s="1" t="s">
        <v>349</v>
      </c>
      <c r="C133" s="2" t="s">
        <v>476</v>
      </c>
      <c r="D133" t="s">
        <v>503</v>
      </c>
    </row>
    <row r="134" spans="1:11" x14ac:dyDescent="0.4">
      <c r="A134" s="1">
        <v>400</v>
      </c>
      <c r="B134" s="1" t="s">
        <v>350</v>
      </c>
      <c r="C134" s="2" t="s">
        <v>515</v>
      </c>
      <c r="D134" t="s">
        <v>567</v>
      </c>
      <c r="E134" t="s">
        <v>469</v>
      </c>
    </row>
    <row r="135" spans="1:11" x14ac:dyDescent="0.4">
      <c r="A135" s="1">
        <v>403</v>
      </c>
      <c r="B135" s="1" t="s">
        <v>354</v>
      </c>
      <c r="C135" s="2" t="s">
        <v>448</v>
      </c>
      <c r="D135" t="s">
        <v>457</v>
      </c>
      <c r="E135" t="s">
        <v>455</v>
      </c>
      <c r="F135" t="s">
        <v>489</v>
      </c>
      <c r="G135" t="s">
        <v>500</v>
      </c>
      <c r="H135" t="s">
        <v>462</v>
      </c>
      <c r="I135" t="s">
        <v>452</v>
      </c>
      <c r="J135" t="s">
        <v>459</v>
      </c>
      <c r="K135" t="s">
        <v>456</v>
      </c>
    </row>
    <row r="136" spans="1:11" x14ac:dyDescent="0.4">
      <c r="A136" s="1">
        <v>408</v>
      </c>
      <c r="B136" s="1" t="s">
        <v>356</v>
      </c>
      <c r="C136" s="2" t="s">
        <v>456</v>
      </c>
      <c r="D136" t="s">
        <v>552</v>
      </c>
    </row>
    <row r="137" spans="1:11" x14ac:dyDescent="0.4">
      <c r="A137" s="1">
        <v>411</v>
      </c>
      <c r="B137" s="1" t="s">
        <v>357</v>
      </c>
      <c r="C137" s="2" t="s">
        <v>610</v>
      </c>
    </row>
    <row r="138" spans="1:11" x14ac:dyDescent="0.4">
      <c r="A138" s="1">
        <v>412</v>
      </c>
      <c r="B138" s="1" t="s">
        <v>358</v>
      </c>
      <c r="C138" s="2" t="s">
        <v>448</v>
      </c>
      <c r="D138" t="s">
        <v>455</v>
      </c>
      <c r="E138" t="s">
        <v>456</v>
      </c>
      <c r="F138" t="s">
        <v>476</v>
      </c>
      <c r="G138" t="s">
        <v>454</v>
      </c>
    </row>
    <row r="139" spans="1:11" x14ac:dyDescent="0.4">
      <c r="A139" s="1">
        <v>420</v>
      </c>
      <c r="B139" s="1" t="s">
        <v>360</v>
      </c>
      <c r="C139" s="2" t="s">
        <v>562</v>
      </c>
      <c r="D139" t="s">
        <v>485</v>
      </c>
    </row>
    <row r="140" spans="1:11" x14ac:dyDescent="0.4">
      <c r="A140" s="1">
        <v>421</v>
      </c>
      <c r="B140" s="1" t="s">
        <v>363</v>
      </c>
      <c r="C140" s="2" t="s">
        <v>448</v>
      </c>
      <c r="D140" t="s">
        <v>469</v>
      </c>
      <c r="E140" t="s">
        <v>452</v>
      </c>
      <c r="F140" t="s">
        <v>459</v>
      </c>
      <c r="G140" t="s">
        <v>460</v>
      </c>
      <c r="H140" t="s">
        <v>611</v>
      </c>
      <c r="I140" t="s">
        <v>476</v>
      </c>
      <c r="J140" t="s">
        <v>454</v>
      </c>
    </row>
    <row r="141" spans="1:11" x14ac:dyDescent="0.4">
      <c r="A141" s="1">
        <v>422</v>
      </c>
      <c r="B141" s="1" t="s">
        <v>364</v>
      </c>
      <c r="C141" s="2" t="s">
        <v>448</v>
      </c>
      <c r="D141" t="s">
        <v>469</v>
      </c>
      <c r="E141" t="s">
        <v>513</v>
      </c>
      <c r="F141" t="s">
        <v>485</v>
      </c>
    </row>
    <row r="142" spans="1:11" x14ac:dyDescent="0.4">
      <c r="A142" s="1">
        <v>428</v>
      </c>
      <c r="B142" s="1" t="s">
        <v>365</v>
      </c>
      <c r="C142" s="2" t="s">
        <v>562</v>
      </c>
      <c r="D142" t="s">
        <v>448</v>
      </c>
      <c r="E142" t="s">
        <v>457</v>
      </c>
      <c r="F142" t="s">
        <v>476</v>
      </c>
    </row>
    <row r="143" spans="1:11" x14ac:dyDescent="0.4">
      <c r="A143" s="1">
        <v>439</v>
      </c>
      <c r="B143" s="1" t="s">
        <v>367</v>
      </c>
      <c r="C143" s="2" t="s">
        <v>448</v>
      </c>
      <c r="D143" t="s">
        <v>456</v>
      </c>
      <c r="E143" t="s">
        <v>465</v>
      </c>
    </row>
    <row r="144" spans="1:11" x14ac:dyDescent="0.4">
      <c r="A144" s="1">
        <v>448</v>
      </c>
      <c r="B144" s="1" t="s">
        <v>358</v>
      </c>
      <c r="C144" s="2" t="s">
        <v>479</v>
      </c>
      <c r="D144" t="s">
        <v>448</v>
      </c>
      <c r="E144" t="s">
        <v>455</v>
      </c>
      <c r="F144" t="s">
        <v>452</v>
      </c>
      <c r="G144" t="s">
        <v>456</v>
      </c>
      <c r="H144" t="s">
        <v>478</v>
      </c>
      <c r="I144" t="s">
        <v>546</v>
      </c>
      <c r="J144" t="s">
        <v>457</v>
      </c>
    </row>
    <row r="145" spans="1:10" x14ac:dyDescent="0.4">
      <c r="A145" s="1">
        <v>453</v>
      </c>
      <c r="B145" s="1" t="s">
        <v>370</v>
      </c>
      <c r="C145" s="2" t="s">
        <v>448</v>
      </c>
      <c r="D145" t="s">
        <v>456</v>
      </c>
      <c r="E145" t="s">
        <v>500</v>
      </c>
      <c r="F145" t="s">
        <v>450</v>
      </c>
      <c r="G145" t="s">
        <v>612</v>
      </c>
    </row>
    <row r="146" spans="1:10" x14ac:dyDescent="0.4">
      <c r="A146" s="1">
        <v>457</v>
      </c>
      <c r="B146" s="1" t="s">
        <v>374</v>
      </c>
      <c r="C146" s="2" t="s">
        <v>457</v>
      </c>
      <c r="D146" t="s">
        <v>479</v>
      </c>
      <c r="E146" t="s">
        <v>478</v>
      </c>
      <c r="F146" t="s">
        <v>456</v>
      </c>
      <c r="G146" t="s">
        <v>452</v>
      </c>
      <c r="H146" t="s">
        <v>455</v>
      </c>
      <c r="I146" t="s">
        <v>448</v>
      </c>
    </row>
    <row r="147" spans="1:10" x14ac:dyDescent="0.4">
      <c r="A147" s="1">
        <v>458</v>
      </c>
      <c r="B147" s="1" t="s">
        <v>375</v>
      </c>
      <c r="C147" s="2" t="s">
        <v>562</v>
      </c>
      <c r="D147" t="s">
        <v>502</v>
      </c>
      <c r="E147" t="s">
        <v>500</v>
      </c>
      <c r="F147" t="s">
        <v>613</v>
      </c>
    </row>
    <row r="148" spans="1:10" x14ac:dyDescent="0.4">
      <c r="A148" s="1">
        <v>461</v>
      </c>
      <c r="B148" s="1" t="s">
        <v>380</v>
      </c>
      <c r="C148" s="2" t="s">
        <v>505</v>
      </c>
      <c r="D148" t="s">
        <v>608</v>
      </c>
      <c r="E148" t="s">
        <v>614</v>
      </c>
      <c r="F148" t="s">
        <v>615</v>
      </c>
    </row>
    <row r="149" spans="1:10" x14ac:dyDescent="0.4">
      <c r="A149" s="1">
        <v>464</v>
      </c>
      <c r="B149" s="1" t="s">
        <v>381</v>
      </c>
      <c r="C149" s="2" t="s">
        <v>448</v>
      </c>
      <c r="D149" t="s">
        <v>455</v>
      </c>
      <c r="E149" t="s">
        <v>469</v>
      </c>
      <c r="F149" t="s">
        <v>616</v>
      </c>
    </row>
    <row r="150" spans="1:10" x14ac:dyDescent="0.4">
      <c r="A150" s="1">
        <v>470</v>
      </c>
      <c r="B150" s="1" t="s">
        <v>384</v>
      </c>
      <c r="C150" s="2" t="s">
        <v>503</v>
      </c>
      <c r="D150" t="s">
        <v>511</v>
      </c>
    </row>
    <row r="151" spans="1:10" x14ac:dyDescent="0.4">
      <c r="A151" s="1">
        <v>472</v>
      </c>
      <c r="B151" s="1" t="s">
        <v>385</v>
      </c>
      <c r="C151" s="2" t="s">
        <v>455</v>
      </c>
      <c r="D151" t="s">
        <v>448</v>
      </c>
      <c r="E151" t="s">
        <v>476</v>
      </c>
      <c r="F151" t="s">
        <v>452</v>
      </c>
      <c r="G151" t="s">
        <v>547</v>
      </c>
      <c r="H151" t="s">
        <v>459</v>
      </c>
      <c r="I151" t="s">
        <v>454</v>
      </c>
      <c r="J151" t="s">
        <v>460</v>
      </c>
    </row>
    <row r="152" spans="1:10" x14ac:dyDescent="0.4">
      <c r="A152" s="1">
        <v>475</v>
      </c>
      <c r="B152" s="1" t="s">
        <v>389</v>
      </c>
      <c r="C152" s="2" t="s">
        <v>552</v>
      </c>
      <c r="D152" t="s">
        <v>448</v>
      </c>
      <c r="E152" t="s">
        <v>456</v>
      </c>
    </row>
    <row r="153" spans="1:10" x14ac:dyDescent="0.4">
      <c r="A153" s="1">
        <v>477</v>
      </c>
      <c r="B153" s="1" t="s">
        <v>391</v>
      </c>
      <c r="C153" s="2" t="s">
        <v>448</v>
      </c>
      <c r="D153" t="s">
        <v>617</v>
      </c>
    </row>
    <row r="154" spans="1:10" x14ac:dyDescent="0.4">
      <c r="A154" s="1">
        <v>483</v>
      </c>
      <c r="B154" s="1" t="s">
        <v>393</v>
      </c>
      <c r="C154" s="2" t="s">
        <v>477</v>
      </c>
      <c r="D154" t="s">
        <v>497</v>
      </c>
    </row>
    <row r="155" spans="1:10" x14ac:dyDescent="0.4">
      <c r="A155" s="1">
        <v>488</v>
      </c>
      <c r="B155" s="1" t="s">
        <v>396</v>
      </c>
      <c r="C155" s="2" t="s">
        <v>602</v>
      </c>
      <c r="D155" t="s">
        <v>583</v>
      </c>
      <c r="E155" t="s">
        <v>477</v>
      </c>
      <c r="F155" t="s">
        <v>589</v>
      </c>
      <c r="G155" t="s">
        <v>496</v>
      </c>
      <c r="H155" t="s">
        <v>618</v>
      </c>
      <c r="I155" t="s">
        <v>595</v>
      </c>
    </row>
    <row r="156" spans="1:10" x14ac:dyDescent="0.4">
      <c r="A156" s="1">
        <v>509</v>
      </c>
      <c r="B156" s="1" t="s">
        <v>402</v>
      </c>
      <c r="C156" s="2" t="s">
        <v>477</v>
      </c>
      <c r="D156" t="s">
        <v>503</v>
      </c>
      <c r="E156" t="s">
        <v>570</v>
      </c>
      <c r="F156" t="s">
        <v>542</v>
      </c>
      <c r="G156" t="s">
        <v>497</v>
      </c>
    </row>
    <row r="157" spans="1:10" x14ac:dyDescent="0.4">
      <c r="A157" s="1">
        <v>510</v>
      </c>
      <c r="B157" s="1" t="s">
        <v>405</v>
      </c>
      <c r="C157" s="2" t="s">
        <v>455</v>
      </c>
      <c r="D157" t="s">
        <v>519</v>
      </c>
      <c r="E157" t="s">
        <v>475</v>
      </c>
      <c r="F157" t="s">
        <v>449</v>
      </c>
    </row>
    <row r="158" spans="1:10" x14ac:dyDescent="0.4">
      <c r="A158" s="1">
        <v>515</v>
      </c>
      <c r="B158" s="1" t="s">
        <v>407</v>
      </c>
      <c r="C158" s="2" t="s">
        <v>562</v>
      </c>
      <c r="D158" t="s">
        <v>448</v>
      </c>
    </row>
    <row r="159" spans="1:10" x14ac:dyDescent="0.4">
      <c r="A159" s="1">
        <v>517</v>
      </c>
      <c r="B159" s="1" t="s">
        <v>409</v>
      </c>
      <c r="C159" s="2" t="s">
        <v>448</v>
      </c>
      <c r="D159" t="s">
        <v>450</v>
      </c>
    </row>
    <row r="160" spans="1:10" x14ac:dyDescent="0.4">
      <c r="A160" s="1">
        <v>526</v>
      </c>
      <c r="B160" s="1" t="s">
        <v>410</v>
      </c>
      <c r="C160" s="2" t="s">
        <v>448</v>
      </c>
      <c r="D160" t="s">
        <v>452</v>
      </c>
      <c r="E160" t="s">
        <v>455</v>
      </c>
      <c r="F160" t="s">
        <v>456</v>
      </c>
      <c r="G160" t="s">
        <v>478</v>
      </c>
      <c r="H160" t="s">
        <v>457</v>
      </c>
      <c r="I160" t="s">
        <v>479</v>
      </c>
    </row>
    <row r="161" spans="1:10" x14ac:dyDescent="0.4">
      <c r="A161" s="1">
        <v>532</v>
      </c>
      <c r="B161" s="1" t="s">
        <v>413</v>
      </c>
      <c r="C161" s="2" t="s">
        <v>503</v>
      </c>
      <c r="D161" t="s">
        <v>495</v>
      </c>
    </row>
    <row r="162" spans="1:10" x14ac:dyDescent="0.4">
      <c r="A162" s="1">
        <v>536</v>
      </c>
      <c r="B162" s="1" t="s">
        <v>414</v>
      </c>
      <c r="C162" s="2" t="s">
        <v>562</v>
      </c>
      <c r="D162" t="s">
        <v>497</v>
      </c>
    </row>
    <row r="163" spans="1:10" x14ac:dyDescent="0.4">
      <c r="A163" s="1">
        <v>537</v>
      </c>
      <c r="B163" s="1" t="s">
        <v>417</v>
      </c>
      <c r="C163" s="2" t="s">
        <v>477</v>
      </c>
      <c r="D163" t="s">
        <v>485</v>
      </c>
    </row>
    <row r="164" spans="1:10" x14ac:dyDescent="0.4">
      <c r="A164" s="1">
        <v>538</v>
      </c>
      <c r="B164" s="1" t="s">
        <v>385</v>
      </c>
      <c r="C164" s="2" t="s">
        <v>448</v>
      </c>
      <c r="D164" t="s">
        <v>476</v>
      </c>
      <c r="E164" t="s">
        <v>455</v>
      </c>
      <c r="F164" t="s">
        <v>452</v>
      </c>
      <c r="G164" t="s">
        <v>547</v>
      </c>
      <c r="H164" t="s">
        <v>459</v>
      </c>
      <c r="I164" t="s">
        <v>460</v>
      </c>
      <c r="J164" t="s">
        <v>556</v>
      </c>
    </row>
    <row r="165" spans="1:10" x14ac:dyDescent="0.4">
      <c r="A165" s="1">
        <v>540</v>
      </c>
      <c r="B165" s="1" t="s">
        <v>420</v>
      </c>
      <c r="C165" s="2" t="s">
        <v>562</v>
      </c>
      <c r="D165" t="s">
        <v>455</v>
      </c>
    </row>
    <row r="166" spans="1:10" x14ac:dyDescent="0.4">
      <c r="A166" s="1">
        <v>555</v>
      </c>
      <c r="B166" s="1" t="s">
        <v>423</v>
      </c>
      <c r="C166" s="2" t="s">
        <v>501</v>
      </c>
      <c r="D166" t="s">
        <v>503</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E420D-F650-4BBE-BB10-AF2C5FC32F4E}">
  <sheetPr>
    <pageSetUpPr fitToPage="1"/>
  </sheetPr>
  <dimension ref="A1:O167"/>
  <sheetViews>
    <sheetView zoomScaleNormal="100" workbookViewId="0">
      <pane ySplit="1" topLeftCell="A2" activePane="bottomLeft" state="frozen"/>
      <selection activeCell="H1" sqref="H1"/>
      <selection pane="bottomLeft" sqref="A1:O1"/>
    </sheetView>
  </sheetViews>
  <sheetFormatPr defaultColWidth="8.8984375" defaultRowHeight="15.6" x14ac:dyDescent="0.4"/>
  <cols>
    <col min="1" max="1" width="8.796875" style="1" bestFit="1" customWidth="1"/>
    <col min="2" max="2" width="36.59765625" style="1" customWidth="1"/>
    <col min="3" max="3" width="17.296875" style="2" bestFit="1" customWidth="1"/>
    <col min="4" max="5" width="21" style="2" bestFit="1" customWidth="1"/>
    <col min="6" max="6" width="22.796875" style="2" bestFit="1" customWidth="1"/>
    <col min="7" max="7" width="19.09765625" style="2" bestFit="1" customWidth="1"/>
    <col min="8" max="8" width="22.796875" style="2" bestFit="1" customWidth="1"/>
    <col min="9" max="9" width="17.296875" style="2" bestFit="1" customWidth="1"/>
    <col min="10" max="10" width="12.3984375" style="2" bestFit="1" customWidth="1"/>
    <col min="11" max="11" width="17.296875" style="2" bestFit="1" customWidth="1"/>
    <col min="12" max="14" width="13.5" style="2" bestFit="1" customWidth="1"/>
    <col min="15" max="15" width="6.796875" style="2" bestFit="1" customWidth="1"/>
    <col min="16" max="16384" width="8.8984375" style="2"/>
  </cols>
  <sheetData>
    <row r="1" spans="1:15" x14ac:dyDescent="0.4">
      <c r="A1" s="1" t="s">
        <v>425</v>
      </c>
      <c r="B1" s="1" t="s">
        <v>424</v>
      </c>
      <c r="C1" s="2" t="s">
        <v>0</v>
      </c>
      <c r="D1" s="2" t="s">
        <v>1</v>
      </c>
      <c r="E1" s="2" t="s">
        <v>2</v>
      </c>
      <c r="F1" s="2" t="s">
        <v>3</v>
      </c>
      <c r="G1" s="2" t="s">
        <v>4</v>
      </c>
      <c r="H1" s="2" t="s">
        <v>5</v>
      </c>
      <c r="I1" s="2" t="s">
        <v>6</v>
      </c>
      <c r="J1" s="2" t="s">
        <v>7</v>
      </c>
      <c r="K1" s="2" t="s">
        <v>8</v>
      </c>
      <c r="L1" s="2" t="s">
        <v>9</v>
      </c>
      <c r="M1" s="2" t="s">
        <v>10</v>
      </c>
      <c r="N1" s="2" t="s">
        <v>11</v>
      </c>
      <c r="O1" s="2" t="s">
        <v>12</v>
      </c>
    </row>
    <row r="2" spans="1:15" x14ac:dyDescent="0.4">
      <c r="A2" s="1">
        <v>9</v>
      </c>
      <c r="B2" s="1" t="s">
        <v>13</v>
      </c>
      <c r="C2" s="2" t="s">
        <v>14</v>
      </c>
      <c r="D2" s="3" t="s">
        <v>15</v>
      </c>
      <c r="E2" s="3" t="s">
        <v>16</v>
      </c>
      <c r="F2" s="3" t="s">
        <v>17</v>
      </c>
      <c r="G2" s="3" t="s">
        <v>18</v>
      </c>
      <c r="H2" s="3" t="s">
        <v>19</v>
      </c>
      <c r="I2" s="3"/>
      <c r="J2" s="3"/>
      <c r="K2" s="3"/>
      <c r="L2" s="3"/>
      <c r="M2" s="3"/>
      <c r="N2" s="3"/>
      <c r="O2" s="3">
        <f>COUNTA(표1_423[[#This Row],[죄명(한글)]:[죄명(한글)12]])</f>
        <v>6</v>
      </c>
    </row>
    <row r="3" spans="1:15" x14ac:dyDescent="0.4">
      <c r="A3" s="1">
        <v>15</v>
      </c>
      <c r="B3" s="1" t="s">
        <v>20</v>
      </c>
      <c r="C3" s="2" t="s">
        <v>21</v>
      </c>
      <c r="D3" s="3" t="s">
        <v>22</v>
      </c>
      <c r="E3" s="3" t="s">
        <v>23</v>
      </c>
      <c r="F3" s="3"/>
      <c r="G3" s="3"/>
      <c r="H3" s="3"/>
      <c r="I3" s="3"/>
      <c r="J3" s="3"/>
      <c r="K3" s="3"/>
      <c r="L3" s="3"/>
      <c r="M3" s="3"/>
      <c r="N3" s="3"/>
      <c r="O3" s="3">
        <f>COUNTA(표1_423[[#This Row],[죄명(한글)]:[죄명(한글)12]])</f>
        <v>3</v>
      </c>
    </row>
    <row r="4" spans="1:15" x14ac:dyDescent="0.4">
      <c r="A4" s="1">
        <v>22</v>
      </c>
      <c r="B4" s="1" t="s">
        <v>24</v>
      </c>
      <c r="C4" s="2" t="s">
        <v>25</v>
      </c>
      <c r="D4" s="3" t="s">
        <v>26</v>
      </c>
      <c r="E4" s="3" t="s">
        <v>22</v>
      </c>
      <c r="F4" s="3" t="s">
        <v>27</v>
      </c>
      <c r="G4" s="3"/>
      <c r="H4" s="3"/>
      <c r="I4" s="3"/>
      <c r="J4" s="3"/>
      <c r="K4" s="3"/>
      <c r="L4" s="3"/>
      <c r="M4" s="3"/>
      <c r="N4" s="3"/>
      <c r="O4" s="3">
        <f>COUNTA(표1_423[[#This Row],[죄명(한글)]:[죄명(한글)12]])</f>
        <v>4</v>
      </c>
    </row>
    <row r="5" spans="1:15" x14ac:dyDescent="0.4">
      <c r="A5" s="1">
        <v>23</v>
      </c>
      <c r="B5" s="1" t="s">
        <v>28</v>
      </c>
      <c r="C5" s="2" t="s">
        <v>15</v>
      </c>
      <c r="D5" s="3" t="s">
        <v>29</v>
      </c>
      <c r="E5" s="3" t="s">
        <v>26</v>
      </c>
      <c r="F5" s="3" t="s">
        <v>17</v>
      </c>
      <c r="G5" s="3"/>
      <c r="H5" s="3"/>
      <c r="I5" s="3"/>
      <c r="J5" s="3"/>
      <c r="K5" s="3"/>
      <c r="L5" s="3"/>
      <c r="M5" s="3"/>
      <c r="N5" s="3"/>
      <c r="O5" s="3">
        <f>COUNTA(표1_423[[#This Row],[죄명(한글)]:[죄명(한글)12]])</f>
        <v>4</v>
      </c>
    </row>
    <row r="6" spans="1:15" x14ac:dyDescent="0.4">
      <c r="A6" s="1">
        <v>25</v>
      </c>
      <c r="B6" s="1" t="s">
        <v>30</v>
      </c>
      <c r="C6" s="3" t="s">
        <v>31</v>
      </c>
      <c r="D6" s="3" t="s">
        <v>32</v>
      </c>
      <c r="E6" s="3" t="s">
        <v>33</v>
      </c>
      <c r="F6" s="3" t="s">
        <v>27</v>
      </c>
      <c r="G6" s="3" t="s">
        <v>34</v>
      </c>
      <c r="H6" s="3" t="s">
        <v>35</v>
      </c>
      <c r="I6" s="3" t="s">
        <v>26</v>
      </c>
      <c r="J6" s="3"/>
      <c r="K6" s="3"/>
      <c r="L6" s="3"/>
      <c r="M6" s="3"/>
      <c r="N6" s="3"/>
      <c r="O6" s="3">
        <f>COUNTA(표1_423[[#This Row],[죄명(한글)]:[죄명(한글)12]])</f>
        <v>7</v>
      </c>
    </row>
    <row r="7" spans="1:15" x14ac:dyDescent="0.4">
      <c r="A7" s="1">
        <v>30</v>
      </c>
      <c r="B7" s="1" t="s">
        <v>36</v>
      </c>
      <c r="C7" s="2" t="s">
        <v>25</v>
      </c>
      <c r="D7" s="3" t="s">
        <v>26</v>
      </c>
      <c r="E7" s="3" t="s">
        <v>37</v>
      </c>
      <c r="F7" s="3" t="s">
        <v>38</v>
      </c>
      <c r="G7" s="3" t="s">
        <v>39</v>
      </c>
      <c r="H7" s="3" t="s">
        <v>40</v>
      </c>
      <c r="I7" s="3"/>
      <c r="J7" s="3"/>
      <c r="K7" s="3"/>
      <c r="L7" s="3"/>
      <c r="M7" s="3"/>
      <c r="N7" s="3"/>
      <c r="O7" s="3">
        <f>COUNTA(표1_423[[#This Row],[죄명(한글)]:[죄명(한글)12]])</f>
        <v>6</v>
      </c>
    </row>
    <row r="8" spans="1:15" x14ac:dyDescent="0.4">
      <c r="A8" s="1">
        <v>31</v>
      </c>
      <c r="B8" s="1" t="s">
        <v>41</v>
      </c>
      <c r="C8" s="2" t="s">
        <v>26</v>
      </c>
      <c r="D8" s="3" t="s">
        <v>25</v>
      </c>
      <c r="E8" s="3" t="s">
        <v>22</v>
      </c>
      <c r="F8" s="3" t="s">
        <v>42</v>
      </c>
      <c r="G8" s="3" t="s">
        <v>14</v>
      </c>
      <c r="H8" s="3"/>
      <c r="I8" s="3"/>
      <c r="J8" s="3"/>
      <c r="K8" s="3"/>
      <c r="L8" s="3"/>
      <c r="M8" s="3"/>
      <c r="N8" s="3"/>
      <c r="O8" s="3">
        <f>COUNTA(표1_423[[#This Row],[죄명(한글)]:[죄명(한글)12]])</f>
        <v>5</v>
      </c>
    </row>
    <row r="9" spans="1:15" x14ac:dyDescent="0.4">
      <c r="A9" s="1">
        <v>33</v>
      </c>
      <c r="B9" s="1" t="s">
        <v>43</v>
      </c>
      <c r="C9" s="2" t="s">
        <v>25</v>
      </c>
      <c r="D9" s="3" t="s">
        <v>26</v>
      </c>
      <c r="E9" s="3" t="s">
        <v>22</v>
      </c>
      <c r="F9" s="3" t="s">
        <v>37</v>
      </c>
      <c r="G9" s="3"/>
      <c r="H9" s="3"/>
      <c r="I9" s="3"/>
      <c r="J9" s="3"/>
      <c r="K9" s="3"/>
      <c r="L9" s="3"/>
      <c r="M9" s="3"/>
      <c r="N9" s="3"/>
      <c r="O9" s="3">
        <f>COUNTA(표1_423[[#This Row],[죄명(한글)]:[죄명(한글)12]])</f>
        <v>4</v>
      </c>
    </row>
    <row r="10" spans="1:15" x14ac:dyDescent="0.4">
      <c r="A10" s="1">
        <v>35</v>
      </c>
      <c r="B10" s="1" t="s">
        <v>44</v>
      </c>
      <c r="C10" s="2" t="s">
        <v>26</v>
      </c>
      <c r="D10" s="3" t="s">
        <v>45</v>
      </c>
      <c r="E10" s="3" t="s">
        <v>17</v>
      </c>
      <c r="F10" s="3" t="s">
        <v>46</v>
      </c>
      <c r="G10" s="3"/>
      <c r="H10" s="3"/>
      <c r="I10" s="3"/>
      <c r="J10" s="3"/>
      <c r="K10" s="3"/>
      <c r="L10" s="3"/>
      <c r="M10" s="3"/>
      <c r="N10" s="3"/>
      <c r="O10" s="3">
        <f>COUNTA(표1_423[[#This Row],[죄명(한글)]:[죄명(한글)12]])</f>
        <v>4</v>
      </c>
    </row>
    <row r="11" spans="1:15" x14ac:dyDescent="0.4">
      <c r="A11" s="1">
        <v>41</v>
      </c>
      <c r="B11" s="1" t="s">
        <v>47</v>
      </c>
      <c r="C11" s="2" t="s">
        <v>27</v>
      </c>
      <c r="D11" s="3" t="s">
        <v>48</v>
      </c>
      <c r="E11" s="3" t="s">
        <v>49</v>
      </c>
      <c r="F11" s="3" t="s">
        <v>32</v>
      </c>
      <c r="G11" s="3"/>
      <c r="H11" s="3"/>
      <c r="I11" s="3"/>
      <c r="J11" s="3"/>
      <c r="K11" s="3"/>
      <c r="L11" s="3"/>
      <c r="M11" s="3"/>
      <c r="N11" s="3"/>
      <c r="O11" s="3">
        <f>COUNTA(표1_423[[#This Row],[죄명(한글)]:[죄명(한글)12]])</f>
        <v>4</v>
      </c>
    </row>
    <row r="12" spans="1:15" x14ac:dyDescent="0.4">
      <c r="A12" s="1">
        <v>42</v>
      </c>
      <c r="B12" s="1" t="s">
        <v>50</v>
      </c>
      <c r="C12" s="2" t="s">
        <v>27</v>
      </c>
      <c r="D12" s="3"/>
      <c r="E12" s="3"/>
      <c r="F12" s="3"/>
      <c r="G12" s="3"/>
      <c r="H12" s="3"/>
      <c r="I12" s="3"/>
      <c r="J12" s="3"/>
      <c r="K12" s="3"/>
      <c r="L12" s="3"/>
      <c r="M12" s="3"/>
      <c r="N12" s="3"/>
      <c r="O12" s="3">
        <f>COUNTA(표1_423[[#This Row],[죄명(한글)]:[죄명(한글)12]])</f>
        <v>1</v>
      </c>
    </row>
    <row r="13" spans="1:15" x14ac:dyDescent="0.4">
      <c r="A13" s="1">
        <v>43</v>
      </c>
      <c r="B13" s="1" t="s">
        <v>51</v>
      </c>
      <c r="C13" s="2" t="s">
        <v>52</v>
      </c>
      <c r="D13" s="3" t="s">
        <v>34</v>
      </c>
      <c r="E13" s="3" t="s">
        <v>26</v>
      </c>
      <c r="F13" s="3" t="s">
        <v>38</v>
      </c>
      <c r="G13" s="3" t="s">
        <v>17</v>
      </c>
      <c r="H13" s="3" t="s">
        <v>45</v>
      </c>
      <c r="I13" s="3"/>
      <c r="J13" s="3"/>
      <c r="K13" s="3"/>
      <c r="L13" s="3"/>
      <c r="M13" s="3"/>
      <c r="N13" s="3"/>
      <c r="O13" s="3">
        <f>COUNTA(표1_423[[#This Row],[죄명(한글)]:[죄명(한글)12]])</f>
        <v>6</v>
      </c>
    </row>
    <row r="14" spans="1:15" x14ac:dyDescent="0.4">
      <c r="A14" s="1">
        <v>46</v>
      </c>
      <c r="B14" s="1" t="s">
        <v>53</v>
      </c>
      <c r="C14" s="2" t="s">
        <v>38</v>
      </c>
      <c r="D14" s="3" t="s">
        <v>32</v>
      </c>
      <c r="E14" s="3" t="s">
        <v>17</v>
      </c>
      <c r="F14" s="3"/>
      <c r="G14" s="3"/>
      <c r="H14" s="3"/>
      <c r="I14" s="3"/>
      <c r="J14" s="3"/>
      <c r="K14" s="3"/>
      <c r="L14" s="3"/>
      <c r="M14" s="3"/>
      <c r="N14" s="3"/>
      <c r="O14" s="3">
        <f>COUNTA(표1_423[[#This Row],[죄명(한글)]:[죄명(한글)12]])</f>
        <v>3</v>
      </c>
    </row>
    <row r="15" spans="1:15" x14ac:dyDescent="0.4">
      <c r="A15" s="1">
        <v>47</v>
      </c>
      <c r="B15" s="1" t="s">
        <v>54</v>
      </c>
      <c r="C15" s="2" t="s">
        <v>55</v>
      </c>
      <c r="D15" s="3" t="s">
        <v>17</v>
      </c>
      <c r="E15" s="3" t="s">
        <v>56</v>
      </c>
      <c r="F15" s="3"/>
      <c r="G15" s="3"/>
      <c r="H15" s="3"/>
      <c r="I15" s="3"/>
      <c r="J15" s="3"/>
      <c r="K15" s="3"/>
      <c r="L15" s="3"/>
      <c r="M15" s="3"/>
      <c r="N15" s="3"/>
      <c r="O15" s="3">
        <f>COUNTA(표1_423[[#This Row],[죄명(한글)]:[죄명(한글)12]])</f>
        <v>3</v>
      </c>
    </row>
    <row r="16" spans="1:15" x14ac:dyDescent="0.4">
      <c r="A16" s="1">
        <v>48</v>
      </c>
      <c r="B16" s="1" t="s">
        <v>57</v>
      </c>
      <c r="C16" s="2" t="s">
        <v>58</v>
      </c>
      <c r="D16" s="3" t="s">
        <v>59</v>
      </c>
      <c r="E16" s="3" t="s">
        <v>56</v>
      </c>
      <c r="F16" s="3" t="s">
        <v>60</v>
      </c>
      <c r="G16" s="3"/>
      <c r="H16" s="3"/>
      <c r="I16" s="3"/>
      <c r="J16" s="3"/>
      <c r="K16" s="3"/>
      <c r="L16" s="3"/>
      <c r="M16" s="3"/>
      <c r="N16" s="3"/>
      <c r="O16" s="3">
        <f>COUNTA(표1_423[[#This Row],[죄명(한글)]:[죄명(한글)12]])</f>
        <v>4</v>
      </c>
    </row>
    <row r="17" spans="1:15" x14ac:dyDescent="0.4">
      <c r="A17" s="1">
        <v>49</v>
      </c>
      <c r="B17" s="1" t="s">
        <v>61</v>
      </c>
      <c r="C17" s="2" t="s">
        <v>62</v>
      </c>
      <c r="D17" s="3" t="s">
        <v>63</v>
      </c>
      <c r="E17" s="3" t="s">
        <v>58</v>
      </c>
      <c r="F17" s="3" t="s">
        <v>56</v>
      </c>
      <c r="G17" s="3" t="s">
        <v>60</v>
      </c>
      <c r="H17" s="3"/>
      <c r="I17" s="3"/>
      <c r="J17" s="3"/>
      <c r="K17" s="3"/>
      <c r="L17" s="3"/>
      <c r="M17" s="3"/>
      <c r="N17" s="3"/>
      <c r="O17" s="3">
        <f>COUNTA(표1_423[[#This Row],[죄명(한글)]:[죄명(한글)12]])</f>
        <v>5</v>
      </c>
    </row>
    <row r="18" spans="1:15" x14ac:dyDescent="0.4">
      <c r="A18" s="1">
        <v>61</v>
      </c>
      <c r="B18" s="1" t="s">
        <v>64</v>
      </c>
      <c r="C18" s="2" t="s">
        <v>29</v>
      </c>
      <c r="D18" s="3" t="s">
        <v>32</v>
      </c>
      <c r="E18" s="3" t="s">
        <v>17</v>
      </c>
      <c r="F18" s="3" t="s">
        <v>65</v>
      </c>
      <c r="G18" s="3" t="s">
        <v>66</v>
      </c>
      <c r="H18" s="3"/>
      <c r="I18" s="3"/>
      <c r="J18" s="3"/>
      <c r="K18" s="3"/>
      <c r="L18" s="3"/>
      <c r="M18" s="3"/>
      <c r="N18" s="3"/>
      <c r="O18" s="3">
        <f>COUNTA(표1_423[[#This Row],[죄명(한글)]:[죄명(한글)12]])</f>
        <v>5</v>
      </c>
    </row>
    <row r="19" spans="1:15" x14ac:dyDescent="0.4">
      <c r="A19" s="1">
        <v>73</v>
      </c>
      <c r="B19" s="1" t="s">
        <v>67</v>
      </c>
      <c r="C19" s="2" t="s">
        <v>68</v>
      </c>
      <c r="D19" s="3" t="s">
        <v>14</v>
      </c>
      <c r="E19" s="3" t="s">
        <v>69</v>
      </c>
      <c r="F19" s="3" t="s">
        <v>31</v>
      </c>
      <c r="G19" s="3"/>
      <c r="H19" s="3"/>
      <c r="I19" s="3"/>
      <c r="J19" s="3"/>
      <c r="K19" s="3"/>
      <c r="L19" s="3"/>
      <c r="M19" s="3"/>
      <c r="N19" s="3"/>
      <c r="O19" s="3">
        <f>COUNTA(표1_423[[#This Row],[죄명(한글)]:[죄명(한글)12]])</f>
        <v>4</v>
      </c>
    </row>
    <row r="20" spans="1:15" x14ac:dyDescent="0.4">
      <c r="A20" s="1">
        <v>84</v>
      </c>
      <c r="B20" s="1" t="s">
        <v>70</v>
      </c>
      <c r="C20" s="2" t="s">
        <v>71</v>
      </c>
      <c r="D20" s="3" t="s">
        <v>72</v>
      </c>
      <c r="E20" s="3" t="s">
        <v>31</v>
      </c>
      <c r="F20" s="3"/>
      <c r="G20" s="3"/>
      <c r="H20" s="3"/>
      <c r="I20" s="3"/>
      <c r="J20" s="3"/>
      <c r="K20" s="3"/>
      <c r="L20" s="3"/>
      <c r="M20" s="3"/>
      <c r="N20" s="3"/>
      <c r="O20" s="3">
        <f>COUNTA(표1_423[[#This Row],[죄명(한글)]:[죄명(한글)12]])</f>
        <v>3</v>
      </c>
    </row>
    <row r="21" spans="1:15" x14ac:dyDescent="0.4">
      <c r="A21" s="1">
        <v>85</v>
      </c>
      <c r="B21" s="1" t="s">
        <v>73</v>
      </c>
      <c r="C21" s="2" t="s">
        <v>56</v>
      </c>
      <c r="D21" s="3" t="s">
        <v>55</v>
      </c>
      <c r="E21" s="3" t="s">
        <v>26</v>
      </c>
      <c r="F21" s="3" t="s">
        <v>74</v>
      </c>
      <c r="G21" s="3" t="s">
        <v>31</v>
      </c>
      <c r="H21" s="3"/>
      <c r="I21" s="3"/>
      <c r="J21" s="3"/>
      <c r="K21" s="3"/>
      <c r="L21" s="3"/>
      <c r="M21" s="3"/>
      <c r="N21" s="3"/>
      <c r="O21" s="3">
        <f>COUNTA(표1_423[[#This Row],[죄명(한글)]:[죄명(한글)12]])</f>
        <v>5</v>
      </c>
    </row>
    <row r="22" spans="1:15" x14ac:dyDescent="0.4">
      <c r="A22" s="1">
        <v>87</v>
      </c>
      <c r="B22" s="1" t="s">
        <v>75</v>
      </c>
      <c r="C22" s="2" t="s">
        <v>14</v>
      </c>
      <c r="D22" s="3" t="s">
        <v>31</v>
      </c>
      <c r="E22" s="3" t="s">
        <v>76</v>
      </c>
      <c r="F22" s="3" t="s">
        <v>77</v>
      </c>
      <c r="G22" s="3"/>
      <c r="H22" s="3"/>
      <c r="I22" s="3"/>
      <c r="J22" s="3"/>
      <c r="K22" s="3"/>
      <c r="L22" s="3"/>
      <c r="M22" s="3"/>
      <c r="N22" s="3"/>
      <c r="O22" s="3">
        <f>COUNTA(표1_423[[#This Row],[죄명(한글)]:[죄명(한글)12]])</f>
        <v>4</v>
      </c>
    </row>
    <row r="23" spans="1:15" x14ac:dyDescent="0.4">
      <c r="A23" s="1">
        <v>88</v>
      </c>
      <c r="B23" s="1" t="s">
        <v>78</v>
      </c>
      <c r="C23" s="2" t="s">
        <v>14</v>
      </c>
      <c r="D23" s="3" t="s">
        <v>26</v>
      </c>
      <c r="E23" s="3" t="s">
        <v>38</v>
      </c>
      <c r="F23" s="3" t="s">
        <v>27</v>
      </c>
      <c r="G23" s="3" t="s">
        <v>79</v>
      </c>
      <c r="H23" s="3" t="s">
        <v>31</v>
      </c>
      <c r="I23" s="3" t="s">
        <v>32</v>
      </c>
      <c r="J23" s="3" t="s">
        <v>34</v>
      </c>
      <c r="K23" s="3"/>
      <c r="L23" s="3"/>
      <c r="M23" s="3"/>
      <c r="N23" s="3"/>
      <c r="O23" s="3">
        <f>COUNTA(표1_423[[#This Row],[죄명(한글)]:[죄명(한글)12]])</f>
        <v>8</v>
      </c>
    </row>
    <row r="24" spans="1:15" x14ac:dyDescent="0.4">
      <c r="A24" s="1">
        <v>89</v>
      </c>
      <c r="B24" s="1" t="s">
        <v>80</v>
      </c>
      <c r="C24" s="4" t="s">
        <v>38</v>
      </c>
      <c r="D24" s="3"/>
      <c r="E24" s="3"/>
      <c r="F24" s="3"/>
      <c r="G24" s="3"/>
      <c r="H24" s="3"/>
      <c r="I24" s="3"/>
      <c r="J24" s="3"/>
      <c r="K24" s="3"/>
      <c r="L24" s="3"/>
      <c r="M24" s="3"/>
      <c r="N24" s="3"/>
      <c r="O24" s="3">
        <f>COUNTA(표1_423[[#This Row],[죄명(한글)]:[죄명(한글)12]])</f>
        <v>1</v>
      </c>
    </row>
    <row r="25" spans="1:15" x14ac:dyDescent="0.4">
      <c r="A25" s="1">
        <v>94</v>
      </c>
      <c r="B25" s="1" t="s">
        <v>81</v>
      </c>
      <c r="C25" s="2" t="s">
        <v>32</v>
      </c>
      <c r="D25" s="3" t="s">
        <v>82</v>
      </c>
      <c r="E25" s="3"/>
      <c r="F25" s="3"/>
      <c r="G25" s="3"/>
      <c r="H25" s="3"/>
      <c r="I25" s="3"/>
      <c r="J25" s="3"/>
      <c r="K25" s="3"/>
      <c r="L25" s="3"/>
      <c r="M25" s="3"/>
      <c r="N25" s="3"/>
      <c r="O25" s="3">
        <f>COUNTA(표1_423[[#This Row],[죄명(한글)]:[죄명(한글)12]])</f>
        <v>2</v>
      </c>
    </row>
    <row r="26" spans="1:15" x14ac:dyDescent="0.4">
      <c r="A26" s="1">
        <v>97</v>
      </c>
      <c r="B26" s="1" t="s">
        <v>83</v>
      </c>
      <c r="C26" s="2" t="s">
        <v>45</v>
      </c>
      <c r="D26" s="3" t="s">
        <v>84</v>
      </c>
      <c r="E26" s="3" t="s">
        <v>85</v>
      </c>
      <c r="F26" s="3" t="s">
        <v>86</v>
      </c>
      <c r="G26" s="3"/>
      <c r="H26" s="3"/>
      <c r="I26" s="3"/>
      <c r="J26" s="3"/>
      <c r="K26" s="3"/>
      <c r="L26" s="3"/>
      <c r="M26" s="3"/>
      <c r="N26" s="3"/>
      <c r="O26" s="3">
        <f>COUNTA(표1_423[[#This Row],[죄명(한글)]:[죄명(한글)12]])</f>
        <v>4</v>
      </c>
    </row>
    <row r="27" spans="1:15" x14ac:dyDescent="0.4">
      <c r="A27" s="1">
        <v>99</v>
      </c>
      <c r="B27" s="1" t="s">
        <v>87</v>
      </c>
      <c r="C27" s="2" t="s">
        <v>26</v>
      </c>
      <c r="D27" s="3" t="s">
        <v>25</v>
      </c>
      <c r="E27" s="3" t="s">
        <v>88</v>
      </c>
      <c r="F27" s="3"/>
      <c r="G27" s="3"/>
      <c r="H27" s="3"/>
      <c r="I27" s="3"/>
      <c r="J27" s="3"/>
      <c r="K27" s="3"/>
      <c r="L27" s="3"/>
      <c r="M27" s="3"/>
      <c r="N27" s="3"/>
      <c r="O27" s="3">
        <f>COUNTA(표1_423[[#This Row],[죄명(한글)]:[죄명(한글)12]])</f>
        <v>3</v>
      </c>
    </row>
    <row r="28" spans="1:15" x14ac:dyDescent="0.4">
      <c r="A28" s="1">
        <v>100</v>
      </c>
      <c r="B28" s="1" t="s">
        <v>89</v>
      </c>
      <c r="C28" s="2" t="s">
        <v>90</v>
      </c>
      <c r="D28" s="3" t="s">
        <v>91</v>
      </c>
      <c r="E28" s="3" t="s">
        <v>92</v>
      </c>
      <c r="F28" s="3"/>
      <c r="G28" s="3"/>
      <c r="H28" s="3"/>
      <c r="I28" s="3"/>
      <c r="J28" s="3"/>
      <c r="K28" s="3"/>
      <c r="L28" s="3"/>
      <c r="M28" s="3"/>
      <c r="N28" s="3"/>
      <c r="O28" s="3">
        <f>COUNTA(표1_423[[#This Row],[죄명(한글)]:[죄명(한글)12]])</f>
        <v>3</v>
      </c>
    </row>
    <row r="29" spans="1:15" x14ac:dyDescent="0.4">
      <c r="A29" s="1">
        <v>103</v>
      </c>
      <c r="B29" s="1" t="s">
        <v>93</v>
      </c>
      <c r="C29" s="2" t="s">
        <v>14</v>
      </c>
      <c r="D29" s="3" t="s">
        <v>94</v>
      </c>
      <c r="E29" s="3" t="s">
        <v>49</v>
      </c>
      <c r="F29" s="3"/>
      <c r="G29" s="3"/>
      <c r="H29" s="3"/>
      <c r="I29" s="3"/>
      <c r="J29" s="3"/>
      <c r="K29" s="3"/>
      <c r="L29" s="3"/>
      <c r="M29" s="3"/>
      <c r="N29" s="3"/>
      <c r="O29" s="3">
        <f>COUNTA(표1_423[[#This Row],[죄명(한글)]:[죄명(한글)12]])</f>
        <v>3</v>
      </c>
    </row>
    <row r="30" spans="1:15" x14ac:dyDescent="0.4">
      <c r="A30" s="1">
        <v>111</v>
      </c>
      <c r="B30" s="1" t="s">
        <v>95</v>
      </c>
      <c r="C30" s="2" t="s">
        <v>96</v>
      </c>
      <c r="D30" s="3"/>
      <c r="E30" s="3"/>
      <c r="F30" s="3"/>
      <c r="G30" s="3"/>
      <c r="H30" s="3"/>
      <c r="I30" s="3"/>
      <c r="J30" s="3"/>
      <c r="K30" s="3"/>
      <c r="L30" s="3"/>
      <c r="M30" s="3"/>
      <c r="N30" s="3"/>
      <c r="O30" s="3">
        <f>COUNTA(표1_423[[#This Row],[죄명(한글)]:[죄명(한글)12]])</f>
        <v>1</v>
      </c>
    </row>
    <row r="31" spans="1:15" x14ac:dyDescent="0.4">
      <c r="A31" s="1">
        <v>112</v>
      </c>
      <c r="B31" s="1" t="s">
        <v>97</v>
      </c>
      <c r="C31" s="2" t="s">
        <v>15</v>
      </c>
      <c r="D31" s="3" t="s">
        <v>98</v>
      </c>
      <c r="E31" s="3"/>
      <c r="F31" s="3"/>
      <c r="G31" s="3"/>
      <c r="H31" s="3"/>
      <c r="I31" s="3"/>
      <c r="J31" s="3"/>
      <c r="K31" s="3"/>
      <c r="L31" s="3"/>
      <c r="M31" s="3"/>
      <c r="N31" s="3"/>
      <c r="O31" s="3">
        <f>COUNTA(표1_423[[#This Row],[죄명(한글)]:[죄명(한글)12]])</f>
        <v>2</v>
      </c>
    </row>
    <row r="32" spans="1:15" x14ac:dyDescent="0.4">
      <c r="A32" s="1">
        <v>121</v>
      </c>
      <c r="B32" s="1" t="s">
        <v>99</v>
      </c>
      <c r="C32" s="2" t="s">
        <v>100</v>
      </c>
      <c r="D32" s="3" t="s">
        <v>17</v>
      </c>
      <c r="E32" s="3" t="s">
        <v>32</v>
      </c>
      <c r="F32" s="3" t="s">
        <v>60</v>
      </c>
      <c r="G32" s="3"/>
      <c r="H32" s="3"/>
      <c r="I32" s="3"/>
      <c r="J32" s="3"/>
      <c r="K32" s="3"/>
      <c r="L32" s="3"/>
      <c r="M32" s="3"/>
      <c r="N32" s="3"/>
      <c r="O32" s="3">
        <f>COUNTA(표1_423[[#This Row],[죄명(한글)]:[죄명(한글)12]])</f>
        <v>4</v>
      </c>
    </row>
    <row r="33" spans="1:15" x14ac:dyDescent="0.4">
      <c r="A33" s="1">
        <v>122</v>
      </c>
      <c r="B33" s="1" t="s">
        <v>101</v>
      </c>
      <c r="C33" s="2" t="s">
        <v>45</v>
      </c>
      <c r="D33" s="3" t="s">
        <v>26</v>
      </c>
      <c r="E33" s="3" t="s">
        <v>102</v>
      </c>
      <c r="F33" s="3" t="s">
        <v>17</v>
      </c>
      <c r="G33" s="3" t="s">
        <v>60</v>
      </c>
      <c r="H33" s="3"/>
      <c r="I33" s="3"/>
      <c r="J33" s="3"/>
      <c r="K33" s="3"/>
      <c r="L33" s="3"/>
      <c r="M33" s="3"/>
      <c r="N33" s="3"/>
      <c r="O33" s="3">
        <f>COUNTA(표1_423[[#This Row],[죄명(한글)]:[죄명(한글)12]])</f>
        <v>5</v>
      </c>
    </row>
    <row r="34" spans="1:15" x14ac:dyDescent="0.4">
      <c r="A34" s="1">
        <v>124</v>
      </c>
      <c r="B34" s="1" t="s">
        <v>103</v>
      </c>
      <c r="C34" s="2" t="s">
        <v>27</v>
      </c>
      <c r="D34" s="3"/>
      <c r="E34" s="3"/>
      <c r="F34" s="3"/>
      <c r="G34" s="3"/>
      <c r="H34" s="3"/>
      <c r="I34" s="3"/>
      <c r="J34" s="3"/>
      <c r="K34" s="3"/>
      <c r="L34" s="3"/>
      <c r="M34" s="3"/>
      <c r="N34" s="3"/>
      <c r="O34" s="3">
        <f>COUNTA(표1_423[[#This Row],[죄명(한글)]:[죄명(한글)12]])</f>
        <v>1</v>
      </c>
    </row>
    <row r="35" spans="1:15" x14ac:dyDescent="0.4">
      <c r="A35" s="1">
        <v>127</v>
      </c>
      <c r="B35" s="1" t="s">
        <v>104</v>
      </c>
      <c r="C35" s="2" t="s">
        <v>65</v>
      </c>
      <c r="D35" s="3" t="s">
        <v>105</v>
      </c>
      <c r="E35" s="3" t="s">
        <v>32</v>
      </c>
      <c r="F35" s="3" t="s">
        <v>15</v>
      </c>
      <c r="G35" s="3" t="s">
        <v>17</v>
      </c>
      <c r="H35" s="3"/>
      <c r="I35" s="3"/>
      <c r="J35" s="3"/>
      <c r="K35" s="3"/>
      <c r="L35" s="3"/>
      <c r="M35" s="3"/>
      <c r="N35" s="3"/>
      <c r="O35" s="3">
        <f>COUNTA(표1_423[[#This Row],[죄명(한글)]:[죄명(한글)12]])</f>
        <v>5</v>
      </c>
    </row>
    <row r="36" spans="1:15" x14ac:dyDescent="0.4">
      <c r="A36" s="1">
        <v>129</v>
      </c>
      <c r="B36" s="1" t="s">
        <v>106</v>
      </c>
      <c r="C36" s="2" t="s">
        <v>14</v>
      </c>
      <c r="D36" s="3" t="s">
        <v>42</v>
      </c>
      <c r="E36" s="3" t="s">
        <v>32</v>
      </c>
      <c r="F36" s="3" t="s">
        <v>60</v>
      </c>
      <c r="G36" s="3"/>
      <c r="H36" s="3"/>
      <c r="I36" s="3"/>
      <c r="J36" s="3"/>
      <c r="K36" s="3"/>
      <c r="L36" s="3"/>
      <c r="M36" s="3"/>
      <c r="N36" s="3"/>
      <c r="O36" s="3">
        <f>COUNTA(표1_423[[#This Row],[죄명(한글)]:[죄명(한글)12]])</f>
        <v>4</v>
      </c>
    </row>
    <row r="37" spans="1:15" x14ac:dyDescent="0.4">
      <c r="A37" s="1">
        <v>134</v>
      </c>
      <c r="B37" s="1" t="s">
        <v>107</v>
      </c>
      <c r="C37" s="2" t="s">
        <v>100</v>
      </c>
      <c r="D37" s="3" t="s">
        <v>108</v>
      </c>
      <c r="E37" s="3" t="s">
        <v>26</v>
      </c>
      <c r="F37" s="3" t="s">
        <v>32</v>
      </c>
      <c r="G37" s="3" t="s">
        <v>60</v>
      </c>
      <c r="H37" s="3"/>
      <c r="I37" s="3"/>
      <c r="J37" s="3"/>
      <c r="K37" s="3"/>
      <c r="L37" s="3"/>
      <c r="M37" s="3"/>
      <c r="N37" s="3"/>
      <c r="O37" s="3">
        <f>COUNTA(표1_423[[#This Row],[죄명(한글)]:[죄명(한글)12]])</f>
        <v>5</v>
      </c>
    </row>
    <row r="38" spans="1:15" x14ac:dyDescent="0.4">
      <c r="A38" s="1">
        <v>135</v>
      </c>
      <c r="B38" s="1" t="s">
        <v>109</v>
      </c>
      <c r="C38" s="2" t="s">
        <v>110</v>
      </c>
      <c r="D38" s="3" t="s">
        <v>31</v>
      </c>
      <c r="E38" s="3" t="s">
        <v>111</v>
      </c>
      <c r="F38" s="3" t="s">
        <v>100</v>
      </c>
      <c r="G38" s="3" t="s">
        <v>60</v>
      </c>
      <c r="H38" s="3"/>
      <c r="I38" s="3"/>
      <c r="J38" s="3"/>
      <c r="K38" s="3"/>
      <c r="L38" s="3"/>
      <c r="M38" s="3"/>
      <c r="N38" s="3"/>
      <c r="O38" s="3">
        <f>COUNTA(표1_423[[#This Row],[죄명(한글)]:[죄명(한글)12]])</f>
        <v>5</v>
      </c>
    </row>
    <row r="39" spans="1:15" x14ac:dyDescent="0.4">
      <c r="A39" s="1">
        <v>139</v>
      </c>
      <c r="B39" s="1" t="s">
        <v>112</v>
      </c>
      <c r="C39" s="3" t="s">
        <v>84</v>
      </c>
      <c r="D39" s="3" t="s">
        <v>96</v>
      </c>
      <c r="E39" s="3" t="s">
        <v>113</v>
      </c>
      <c r="F39" s="3"/>
      <c r="G39" s="3"/>
      <c r="H39" s="3"/>
      <c r="I39" s="3"/>
      <c r="J39" s="3"/>
      <c r="K39" s="3"/>
      <c r="L39" s="3"/>
      <c r="M39" s="3"/>
      <c r="N39" s="3"/>
      <c r="O39" s="3">
        <f>COUNTA(표1_423[[#This Row],[죄명(한글)]:[죄명(한글)12]])</f>
        <v>3</v>
      </c>
    </row>
    <row r="40" spans="1:15" x14ac:dyDescent="0.4">
      <c r="A40" s="1">
        <v>146</v>
      </c>
      <c r="B40" s="1" t="s">
        <v>114</v>
      </c>
      <c r="C40" s="2" t="s">
        <v>115</v>
      </c>
      <c r="D40" s="3" t="s">
        <v>116</v>
      </c>
      <c r="E40" s="3" t="s">
        <v>117</v>
      </c>
      <c r="F40" s="3"/>
      <c r="G40" s="3"/>
      <c r="H40" s="3"/>
      <c r="I40" s="3"/>
      <c r="J40" s="3"/>
      <c r="K40" s="3"/>
      <c r="L40" s="3"/>
      <c r="M40" s="3"/>
      <c r="N40" s="3"/>
      <c r="O40" s="3">
        <f>COUNTA(표1_423[[#This Row],[죄명(한글)]:[죄명(한글)12]])</f>
        <v>3</v>
      </c>
    </row>
    <row r="41" spans="1:15" x14ac:dyDescent="0.4">
      <c r="A41" s="1">
        <v>147</v>
      </c>
      <c r="B41" s="1" t="s">
        <v>118</v>
      </c>
      <c r="C41" s="2" t="s">
        <v>26</v>
      </c>
      <c r="D41" s="3" t="s">
        <v>45</v>
      </c>
      <c r="E41" s="3" t="s">
        <v>119</v>
      </c>
      <c r="F41" s="3" t="s">
        <v>100</v>
      </c>
      <c r="G41" s="3" t="s">
        <v>15</v>
      </c>
      <c r="H41" s="3" t="s">
        <v>17</v>
      </c>
      <c r="I41" s="3"/>
      <c r="J41" s="3"/>
      <c r="K41" s="3"/>
      <c r="L41" s="3"/>
      <c r="M41" s="3"/>
      <c r="N41" s="3"/>
      <c r="O41" s="3">
        <f>COUNTA(표1_423[[#This Row],[죄명(한글)]:[죄명(한글)12]])</f>
        <v>6</v>
      </c>
    </row>
    <row r="42" spans="1:15" x14ac:dyDescent="0.4">
      <c r="A42" s="1">
        <v>150</v>
      </c>
      <c r="B42" s="1" t="s">
        <v>120</v>
      </c>
      <c r="C42" s="2" t="s">
        <v>121</v>
      </c>
      <c r="D42" s="3" t="s">
        <v>34</v>
      </c>
      <c r="E42" s="3" t="s">
        <v>122</v>
      </c>
      <c r="F42" s="3" t="s">
        <v>123</v>
      </c>
      <c r="G42" s="3" t="s">
        <v>124</v>
      </c>
      <c r="H42" s="3" t="s">
        <v>17</v>
      </c>
      <c r="I42" s="3"/>
      <c r="J42" s="3"/>
      <c r="K42" s="3"/>
      <c r="L42" s="3"/>
      <c r="M42" s="3"/>
      <c r="N42" s="3"/>
      <c r="O42" s="3">
        <f>COUNTA(표1_423[[#This Row],[죄명(한글)]:[죄명(한글)12]])</f>
        <v>6</v>
      </c>
    </row>
    <row r="43" spans="1:15" x14ac:dyDescent="0.4">
      <c r="A43" s="1">
        <v>153</v>
      </c>
      <c r="B43" s="1" t="s">
        <v>125</v>
      </c>
      <c r="C43" s="2" t="s">
        <v>126</v>
      </c>
      <c r="D43" s="3" t="s">
        <v>26</v>
      </c>
      <c r="E43" s="3" t="s">
        <v>127</v>
      </c>
      <c r="F43" s="3" t="s">
        <v>128</v>
      </c>
      <c r="G43" s="3" t="s">
        <v>129</v>
      </c>
      <c r="H43" s="3"/>
      <c r="I43" s="3"/>
      <c r="J43" s="3"/>
      <c r="K43" s="3"/>
      <c r="L43" s="3"/>
      <c r="M43" s="3"/>
      <c r="N43" s="3"/>
      <c r="O43" s="3">
        <f>COUNTA(표1_423[[#This Row],[죄명(한글)]:[죄명(한글)12]])</f>
        <v>5</v>
      </c>
    </row>
    <row r="44" spans="1:15" x14ac:dyDescent="0.4">
      <c r="A44" s="1">
        <v>155</v>
      </c>
      <c r="B44" s="1" t="s">
        <v>130</v>
      </c>
      <c r="C44" s="2" t="s">
        <v>32</v>
      </c>
      <c r="D44" s="3" t="s">
        <v>15</v>
      </c>
      <c r="E44" s="3" t="s">
        <v>76</v>
      </c>
      <c r="F44" s="3" t="s">
        <v>34</v>
      </c>
      <c r="G44" s="3" t="s">
        <v>14</v>
      </c>
      <c r="H44" s="3" t="s">
        <v>131</v>
      </c>
      <c r="I44" s="3" t="s">
        <v>132</v>
      </c>
      <c r="J44" s="3"/>
      <c r="K44" s="3"/>
      <c r="L44" s="3"/>
      <c r="M44" s="3"/>
      <c r="N44" s="3"/>
      <c r="O44" s="3">
        <f>COUNTA(표1_423[[#This Row],[죄명(한글)]:[죄명(한글)12]])</f>
        <v>7</v>
      </c>
    </row>
    <row r="45" spans="1:15" x14ac:dyDescent="0.4">
      <c r="A45" s="1">
        <v>156</v>
      </c>
      <c r="B45" s="1" t="s">
        <v>133</v>
      </c>
      <c r="C45" s="2" t="s">
        <v>134</v>
      </c>
      <c r="D45" s="3" t="s">
        <v>60</v>
      </c>
      <c r="E45" s="3" t="s">
        <v>56</v>
      </c>
      <c r="F45" s="3" t="s">
        <v>135</v>
      </c>
      <c r="G45" s="3" t="s">
        <v>136</v>
      </c>
      <c r="H45" s="3" t="s">
        <v>137</v>
      </c>
      <c r="I45" s="3"/>
      <c r="J45" s="3"/>
      <c r="K45" s="3"/>
      <c r="L45" s="3"/>
      <c r="M45" s="3"/>
      <c r="N45" s="3"/>
      <c r="O45" s="3">
        <f>COUNTA(표1_423[[#This Row],[죄명(한글)]:[죄명(한글)12]])</f>
        <v>6</v>
      </c>
    </row>
    <row r="46" spans="1:15" x14ac:dyDescent="0.4">
      <c r="A46" s="1">
        <v>157</v>
      </c>
      <c r="B46" s="1" t="s">
        <v>138</v>
      </c>
      <c r="C46" s="2" t="s">
        <v>65</v>
      </c>
      <c r="D46" s="3" t="s">
        <v>131</v>
      </c>
      <c r="E46" s="3" t="s">
        <v>76</v>
      </c>
      <c r="F46" s="3" t="s">
        <v>34</v>
      </c>
      <c r="G46" s="3" t="s">
        <v>139</v>
      </c>
      <c r="H46" s="3" t="s">
        <v>140</v>
      </c>
      <c r="I46" s="3"/>
      <c r="J46" s="3"/>
      <c r="K46" s="3"/>
      <c r="L46" s="3"/>
      <c r="M46" s="3"/>
      <c r="N46" s="3"/>
      <c r="O46" s="3">
        <f>COUNTA(표1_423[[#This Row],[죄명(한글)]:[죄명(한글)12]])</f>
        <v>6</v>
      </c>
    </row>
    <row r="47" spans="1:15" x14ac:dyDescent="0.4">
      <c r="A47" s="1">
        <v>158</v>
      </c>
      <c r="B47" s="1" t="s">
        <v>141</v>
      </c>
      <c r="C47" s="2" t="s">
        <v>121</v>
      </c>
      <c r="D47" s="3" t="s">
        <v>142</v>
      </c>
      <c r="E47" s="3" t="s">
        <v>14</v>
      </c>
      <c r="F47" s="3" t="s">
        <v>31</v>
      </c>
      <c r="G47" s="3" t="s">
        <v>143</v>
      </c>
      <c r="H47" s="3" t="s">
        <v>144</v>
      </c>
      <c r="I47" s="3" t="s">
        <v>132</v>
      </c>
      <c r="J47" s="3" t="s">
        <v>102</v>
      </c>
      <c r="K47" s="3" t="s">
        <v>145</v>
      </c>
      <c r="L47" s="3" t="s">
        <v>146</v>
      </c>
      <c r="M47" s="3"/>
      <c r="N47" s="3"/>
      <c r="O47" s="3">
        <f>COUNTA(표1_423[[#This Row],[죄명(한글)]:[죄명(한글)12]])</f>
        <v>10</v>
      </c>
    </row>
    <row r="48" spans="1:15" x14ac:dyDescent="0.4">
      <c r="A48" s="1">
        <v>159</v>
      </c>
      <c r="B48" s="1" t="s">
        <v>147</v>
      </c>
      <c r="C48" s="2" t="s">
        <v>148</v>
      </c>
      <c r="D48" s="3" t="s">
        <v>149</v>
      </c>
      <c r="E48" s="3" t="s">
        <v>14</v>
      </c>
      <c r="F48" s="3" t="s">
        <v>150</v>
      </c>
      <c r="G48" s="3" t="s">
        <v>151</v>
      </c>
      <c r="H48" s="3"/>
      <c r="I48" s="3"/>
      <c r="J48" s="3"/>
      <c r="K48" s="3"/>
      <c r="L48" s="3"/>
      <c r="M48" s="3"/>
      <c r="N48" s="3"/>
      <c r="O48" s="3">
        <f>COUNTA(표1_423[[#This Row],[죄명(한글)]:[죄명(한글)12]])</f>
        <v>5</v>
      </c>
    </row>
    <row r="49" spans="1:15" x14ac:dyDescent="0.4">
      <c r="A49" s="1">
        <v>160</v>
      </c>
      <c r="B49" s="1" t="s">
        <v>152</v>
      </c>
      <c r="C49" s="2" t="s">
        <v>82</v>
      </c>
      <c r="D49" s="3" t="s">
        <v>32</v>
      </c>
      <c r="E49" s="3" t="s">
        <v>153</v>
      </c>
      <c r="F49" s="3" t="s">
        <v>154</v>
      </c>
      <c r="G49" s="3" t="s">
        <v>155</v>
      </c>
      <c r="H49" s="3" t="s">
        <v>156</v>
      </c>
      <c r="I49" s="3" t="s">
        <v>17</v>
      </c>
      <c r="J49" s="3"/>
      <c r="K49" s="3"/>
      <c r="L49" s="3"/>
      <c r="M49" s="3"/>
      <c r="N49" s="3"/>
      <c r="O49" s="3">
        <f>COUNTA(표1_423[[#This Row],[죄명(한글)]:[죄명(한글)12]])</f>
        <v>7</v>
      </c>
    </row>
    <row r="50" spans="1:15" x14ac:dyDescent="0.4">
      <c r="A50" s="1">
        <v>164</v>
      </c>
      <c r="B50" s="1" t="s">
        <v>157</v>
      </c>
      <c r="C50" s="2" t="s">
        <v>14</v>
      </c>
      <c r="D50" s="3" t="s">
        <v>158</v>
      </c>
      <c r="E50" s="3" t="s">
        <v>132</v>
      </c>
      <c r="F50" s="3" t="s">
        <v>32</v>
      </c>
      <c r="G50" s="3" t="s">
        <v>31</v>
      </c>
      <c r="H50" s="3" t="s">
        <v>102</v>
      </c>
      <c r="I50" s="3"/>
      <c r="J50" s="3"/>
      <c r="K50" s="3"/>
      <c r="L50" s="3"/>
      <c r="M50" s="3"/>
      <c r="N50" s="3"/>
      <c r="O50" s="3">
        <f>COUNTA(표1_423[[#This Row],[죄명(한글)]:[죄명(한글)12]])</f>
        <v>6</v>
      </c>
    </row>
    <row r="51" spans="1:15" x14ac:dyDescent="0.4">
      <c r="A51" s="1">
        <v>165</v>
      </c>
      <c r="B51" s="1" t="s">
        <v>159</v>
      </c>
      <c r="C51" s="2" t="s">
        <v>160</v>
      </c>
      <c r="D51" s="3" t="s">
        <v>71</v>
      </c>
      <c r="E51" s="3"/>
      <c r="F51" s="3"/>
      <c r="G51" s="3"/>
      <c r="H51" s="3"/>
      <c r="I51" s="3"/>
      <c r="J51" s="3"/>
      <c r="K51" s="3"/>
      <c r="L51" s="3"/>
      <c r="M51" s="3"/>
      <c r="N51" s="3"/>
      <c r="O51" s="3">
        <f>COUNTA(표1_423[[#This Row],[죄명(한글)]:[죄명(한글)12]])</f>
        <v>2</v>
      </c>
    </row>
    <row r="52" spans="1:15" x14ac:dyDescent="0.4">
      <c r="A52" s="1">
        <v>175</v>
      </c>
      <c r="B52" s="1" t="s">
        <v>161</v>
      </c>
      <c r="C52" s="2" t="s">
        <v>162</v>
      </c>
      <c r="D52" s="3" t="s">
        <v>34</v>
      </c>
      <c r="E52" s="3" t="s">
        <v>163</v>
      </c>
      <c r="F52" s="3" t="s">
        <v>121</v>
      </c>
      <c r="G52" s="3" t="s">
        <v>38</v>
      </c>
      <c r="H52" s="3" t="s">
        <v>164</v>
      </c>
      <c r="I52" s="3"/>
      <c r="J52" s="3"/>
      <c r="K52" s="3"/>
      <c r="L52" s="3"/>
      <c r="M52" s="3"/>
      <c r="N52" s="3"/>
      <c r="O52" s="3">
        <f>COUNTA(표1_423[[#This Row],[죄명(한글)]:[죄명(한글)12]])</f>
        <v>6</v>
      </c>
    </row>
    <row r="53" spans="1:15" x14ac:dyDescent="0.4">
      <c r="A53" s="1">
        <v>176</v>
      </c>
      <c r="B53" s="1" t="s">
        <v>165</v>
      </c>
      <c r="C53" s="2" t="s">
        <v>17</v>
      </c>
      <c r="D53" s="3" t="s">
        <v>17</v>
      </c>
      <c r="E53" s="3" t="s">
        <v>166</v>
      </c>
      <c r="F53" s="3" t="s">
        <v>167</v>
      </c>
      <c r="G53" s="3" t="s">
        <v>168</v>
      </c>
      <c r="H53" s="3"/>
      <c r="I53" s="3"/>
      <c r="J53" s="3"/>
      <c r="K53" s="3"/>
      <c r="L53" s="3"/>
      <c r="M53" s="3"/>
      <c r="N53" s="3"/>
      <c r="O53" s="3">
        <f>COUNTA(표1_423[[#This Row],[죄명(한글)]:[죄명(한글)12]])</f>
        <v>5</v>
      </c>
    </row>
    <row r="54" spans="1:15" x14ac:dyDescent="0.4">
      <c r="A54" s="1">
        <v>177</v>
      </c>
      <c r="B54" s="1" t="s">
        <v>169</v>
      </c>
      <c r="C54" s="2" t="s">
        <v>38</v>
      </c>
      <c r="D54" s="3" t="s">
        <v>126</v>
      </c>
      <c r="E54" s="3" t="s">
        <v>170</v>
      </c>
      <c r="F54" s="3" t="s">
        <v>17</v>
      </c>
      <c r="G54" s="3" t="s">
        <v>166</v>
      </c>
      <c r="H54" s="3"/>
      <c r="I54" s="3"/>
      <c r="J54" s="3"/>
      <c r="K54" s="3"/>
      <c r="L54" s="3"/>
      <c r="M54" s="3"/>
      <c r="N54" s="3"/>
      <c r="O54" s="3">
        <f>COUNTA(표1_423[[#This Row],[죄명(한글)]:[죄명(한글)12]])</f>
        <v>5</v>
      </c>
    </row>
    <row r="55" spans="1:15" x14ac:dyDescent="0.4">
      <c r="A55" s="1">
        <v>178</v>
      </c>
      <c r="B55" s="1" t="s">
        <v>171</v>
      </c>
      <c r="C55" s="3" t="s">
        <v>172</v>
      </c>
      <c r="D55" s="3" t="s">
        <v>38</v>
      </c>
      <c r="E55" s="3" t="s">
        <v>131</v>
      </c>
      <c r="F55" s="3" t="s">
        <v>34</v>
      </c>
      <c r="G55" s="3" t="s">
        <v>121</v>
      </c>
      <c r="H55" s="3"/>
      <c r="I55" s="3"/>
      <c r="J55" s="3"/>
      <c r="K55" s="3"/>
      <c r="L55" s="3"/>
      <c r="M55" s="3"/>
      <c r="N55" s="3"/>
      <c r="O55" s="3">
        <f>COUNTA(표1_423[[#This Row],[죄명(한글)]:[죄명(한글)12]])</f>
        <v>5</v>
      </c>
    </row>
    <row r="56" spans="1:15" x14ac:dyDescent="0.4">
      <c r="A56" s="1">
        <v>179</v>
      </c>
      <c r="B56" s="1" t="s">
        <v>173</v>
      </c>
      <c r="C56" s="2" t="s">
        <v>121</v>
      </c>
      <c r="D56" s="3" t="s">
        <v>132</v>
      </c>
      <c r="E56" s="3" t="s">
        <v>76</v>
      </c>
      <c r="F56" s="3" t="s">
        <v>166</v>
      </c>
      <c r="G56" s="3" t="s">
        <v>17</v>
      </c>
      <c r="H56" s="3" t="s">
        <v>174</v>
      </c>
      <c r="I56" s="3"/>
      <c r="J56" s="3"/>
      <c r="K56" s="3"/>
      <c r="L56" s="3"/>
      <c r="M56" s="3"/>
      <c r="N56" s="3"/>
      <c r="O56" s="3">
        <f>COUNTA(표1_423[[#This Row],[죄명(한글)]:[죄명(한글)12]])</f>
        <v>6</v>
      </c>
    </row>
    <row r="57" spans="1:15" x14ac:dyDescent="0.4">
      <c r="A57" s="1">
        <v>184</v>
      </c>
      <c r="B57" s="1" t="s">
        <v>175</v>
      </c>
      <c r="C57" s="2" t="s">
        <v>17</v>
      </c>
      <c r="D57" s="3" t="s">
        <v>17</v>
      </c>
      <c r="E57" s="3" t="s">
        <v>166</v>
      </c>
      <c r="F57" s="3" t="s">
        <v>34</v>
      </c>
      <c r="G57" s="3" t="s">
        <v>14</v>
      </c>
      <c r="H57" s="3" t="s">
        <v>131</v>
      </c>
      <c r="I57" s="3"/>
      <c r="J57" s="3"/>
      <c r="K57" s="3"/>
      <c r="L57" s="3"/>
      <c r="M57" s="3"/>
      <c r="N57" s="3"/>
      <c r="O57" s="3">
        <f>COUNTA(표1_423[[#This Row],[죄명(한글)]:[죄명(한글)12]])</f>
        <v>6</v>
      </c>
    </row>
    <row r="58" spans="1:15" x14ac:dyDescent="0.4">
      <c r="A58" s="1">
        <v>186</v>
      </c>
      <c r="B58" s="1" t="s">
        <v>176</v>
      </c>
      <c r="C58" s="2" t="s">
        <v>100</v>
      </c>
      <c r="D58" s="3" t="s">
        <v>166</v>
      </c>
      <c r="E58" s="3" t="s">
        <v>102</v>
      </c>
      <c r="F58" s="3" t="s">
        <v>17</v>
      </c>
      <c r="G58" s="3"/>
      <c r="H58" s="3"/>
      <c r="I58" s="3"/>
      <c r="J58" s="3"/>
      <c r="K58" s="3"/>
      <c r="L58" s="3"/>
      <c r="M58" s="3"/>
      <c r="N58" s="3"/>
      <c r="O58" s="3">
        <f>COUNTA(표1_423[[#This Row],[죄명(한글)]:[죄명(한글)12]])</f>
        <v>4</v>
      </c>
    </row>
    <row r="59" spans="1:15" x14ac:dyDescent="0.4">
      <c r="A59" s="1">
        <v>192</v>
      </c>
      <c r="B59" s="1" t="s">
        <v>177</v>
      </c>
      <c r="C59" s="2" t="s">
        <v>34</v>
      </c>
      <c r="D59" s="3" t="s">
        <v>178</v>
      </c>
      <c r="E59" s="3" t="s">
        <v>121</v>
      </c>
      <c r="F59" s="3" t="s">
        <v>166</v>
      </c>
      <c r="G59" s="3" t="s">
        <v>17</v>
      </c>
      <c r="H59" s="3" t="s">
        <v>31</v>
      </c>
      <c r="I59" s="3"/>
      <c r="J59" s="3"/>
      <c r="K59" s="3"/>
      <c r="L59" s="3"/>
      <c r="M59" s="3"/>
      <c r="N59" s="3"/>
      <c r="O59" s="3">
        <f>COUNTA(표1_423[[#This Row],[죄명(한글)]:[죄명(한글)12]])</f>
        <v>6</v>
      </c>
    </row>
    <row r="60" spans="1:15" x14ac:dyDescent="0.4">
      <c r="A60" s="1">
        <v>194</v>
      </c>
      <c r="B60" s="1" t="s">
        <v>179</v>
      </c>
      <c r="C60" s="2" t="s">
        <v>180</v>
      </c>
      <c r="D60" s="3" t="s">
        <v>181</v>
      </c>
      <c r="E60" s="3" t="s">
        <v>182</v>
      </c>
      <c r="F60" s="3" t="s">
        <v>183</v>
      </c>
      <c r="G60" s="3" t="s">
        <v>102</v>
      </c>
      <c r="H60" s="3" t="s">
        <v>166</v>
      </c>
      <c r="I60" s="3"/>
      <c r="J60" s="3"/>
      <c r="K60" s="3"/>
      <c r="L60" s="3"/>
      <c r="M60" s="3"/>
      <c r="N60" s="3"/>
      <c r="O60" s="3">
        <f>COUNTA(표1_423[[#This Row],[죄명(한글)]:[죄명(한글)12]])</f>
        <v>6</v>
      </c>
    </row>
    <row r="61" spans="1:15" x14ac:dyDescent="0.4">
      <c r="A61" s="1">
        <v>197</v>
      </c>
      <c r="B61" s="1" t="s">
        <v>184</v>
      </c>
      <c r="C61" s="2" t="s">
        <v>185</v>
      </c>
      <c r="D61" s="3"/>
      <c r="E61" s="3"/>
      <c r="F61" s="3"/>
      <c r="G61" s="3"/>
      <c r="H61" s="3"/>
      <c r="I61" s="3"/>
      <c r="J61" s="3"/>
      <c r="K61" s="3"/>
      <c r="L61" s="3"/>
      <c r="M61" s="3"/>
      <c r="N61" s="3"/>
      <c r="O61" s="3">
        <f>COUNTA(표1_423[[#This Row],[죄명(한글)]:[죄명(한글)12]])</f>
        <v>1</v>
      </c>
    </row>
    <row r="62" spans="1:15" x14ac:dyDescent="0.4">
      <c r="A62" s="1">
        <v>198</v>
      </c>
      <c r="B62" s="1" t="s">
        <v>186</v>
      </c>
      <c r="C62" s="2" t="s">
        <v>32</v>
      </c>
      <c r="D62" s="3" t="s">
        <v>34</v>
      </c>
      <c r="E62" s="3" t="s">
        <v>140</v>
      </c>
      <c r="F62" s="3" t="s">
        <v>31</v>
      </c>
      <c r="G62" s="3"/>
      <c r="H62" s="3"/>
      <c r="I62" s="3"/>
      <c r="J62" s="3"/>
      <c r="K62" s="3"/>
      <c r="L62" s="3"/>
      <c r="M62" s="3"/>
      <c r="N62" s="3"/>
      <c r="O62" s="3">
        <f>COUNTA(표1_423[[#This Row],[죄명(한글)]:[죄명(한글)12]])</f>
        <v>4</v>
      </c>
    </row>
    <row r="63" spans="1:15" x14ac:dyDescent="0.4">
      <c r="A63" s="1">
        <v>199</v>
      </c>
      <c r="B63" s="1" t="s">
        <v>187</v>
      </c>
      <c r="C63" s="2" t="s">
        <v>56</v>
      </c>
      <c r="D63" s="3" t="s">
        <v>188</v>
      </c>
      <c r="E63" s="3" t="s">
        <v>17</v>
      </c>
      <c r="F63" s="3" t="s">
        <v>60</v>
      </c>
      <c r="G63" s="3"/>
      <c r="H63" s="3"/>
      <c r="I63" s="3"/>
      <c r="J63" s="3"/>
      <c r="K63" s="3"/>
      <c r="L63" s="3"/>
      <c r="M63" s="3"/>
      <c r="N63" s="3"/>
      <c r="O63" s="3">
        <f>COUNTA(표1_423[[#This Row],[죄명(한글)]:[죄명(한글)12]])</f>
        <v>4</v>
      </c>
    </row>
    <row r="64" spans="1:15" x14ac:dyDescent="0.4">
      <c r="A64" s="1">
        <v>200</v>
      </c>
      <c r="B64" s="1" t="s">
        <v>189</v>
      </c>
      <c r="C64" s="2" t="s">
        <v>190</v>
      </c>
      <c r="D64" s="3" t="s">
        <v>191</v>
      </c>
      <c r="E64" s="3" t="s">
        <v>17</v>
      </c>
      <c r="F64" s="3"/>
      <c r="G64" s="3"/>
      <c r="H64" s="3"/>
      <c r="I64" s="3"/>
      <c r="J64" s="3"/>
      <c r="K64" s="3"/>
      <c r="L64" s="3"/>
      <c r="M64" s="3"/>
      <c r="N64" s="3"/>
      <c r="O64" s="3">
        <f>COUNTA(표1_423[[#This Row],[죄명(한글)]:[죄명(한글)12]])</f>
        <v>3</v>
      </c>
    </row>
    <row r="65" spans="1:15" x14ac:dyDescent="0.4">
      <c r="A65" s="1">
        <v>201</v>
      </c>
      <c r="B65" s="1" t="s">
        <v>192</v>
      </c>
      <c r="C65" s="2" t="s">
        <v>34</v>
      </c>
      <c r="D65" s="3" t="s">
        <v>193</v>
      </c>
      <c r="E65" s="3" t="s">
        <v>191</v>
      </c>
      <c r="F65" s="3" t="s">
        <v>102</v>
      </c>
      <c r="G65" s="3"/>
      <c r="H65" s="3"/>
      <c r="I65" s="3"/>
      <c r="J65" s="3"/>
      <c r="K65" s="3"/>
      <c r="L65" s="3"/>
      <c r="M65" s="3"/>
      <c r="N65" s="3"/>
      <c r="O65" s="3">
        <f>COUNTA(표1_423[[#This Row],[죄명(한글)]:[죄명(한글)12]])</f>
        <v>4</v>
      </c>
    </row>
    <row r="66" spans="1:15" x14ac:dyDescent="0.4">
      <c r="A66" s="1">
        <v>203</v>
      </c>
      <c r="B66" s="1" t="s">
        <v>194</v>
      </c>
      <c r="C66" s="2" t="s">
        <v>56</v>
      </c>
      <c r="D66" s="3" t="s">
        <v>168</v>
      </c>
      <c r="E66" s="3" t="s">
        <v>135</v>
      </c>
      <c r="F66" s="3" t="s">
        <v>14</v>
      </c>
      <c r="G66" s="3" t="s">
        <v>100</v>
      </c>
      <c r="H66" s="3"/>
      <c r="I66" s="3"/>
      <c r="J66" s="3"/>
      <c r="K66" s="3"/>
      <c r="L66" s="3"/>
      <c r="M66" s="3"/>
      <c r="N66" s="3"/>
      <c r="O66" s="3">
        <f>COUNTA(표1_423[[#This Row],[죄명(한글)]:[죄명(한글)12]])</f>
        <v>5</v>
      </c>
    </row>
    <row r="67" spans="1:15" x14ac:dyDescent="0.4">
      <c r="A67" s="1">
        <v>204</v>
      </c>
      <c r="B67" s="1" t="s">
        <v>195</v>
      </c>
      <c r="C67" s="2" t="s">
        <v>196</v>
      </c>
      <c r="D67" s="3" t="s">
        <v>166</v>
      </c>
      <c r="E67" s="3" t="s">
        <v>15</v>
      </c>
      <c r="F67" s="3" t="s">
        <v>197</v>
      </c>
      <c r="G67" s="3"/>
      <c r="H67" s="3"/>
      <c r="I67" s="3"/>
      <c r="J67" s="3"/>
      <c r="K67" s="3"/>
      <c r="L67" s="3"/>
      <c r="M67" s="3"/>
      <c r="N67" s="3"/>
      <c r="O67" s="3">
        <f>COUNTA(표1_423[[#This Row],[죄명(한글)]:[죄명(한글)12]])</f>
        <v>4</v>
      </c>
    </row>
    <row r="68" spans="1:15" x14ac:dyDescent="0.4">
      <c r="A68" s="1">
        <v>206</v>
      </c>
      <c r="B68" s="1" t="s">
        <v>198</v>
      </c>
      <c r="C68" s="2" t="s">
        <v>199</v>
      </c>
      <c r="D68" s="3" t="s">
        <v>200</v>
      </c>
      <c r="E68" s="3" t="s">
        <v>82</v>
      </c>
      <c r="F68" s="3" t="s">
        <v>17</v>
      </c>
      <c r="G68" s="3" t="s">
        <v>84</v>
      </c>
      <c r="H68" s="3"/>
      <c r="I68" s="3"/>
      <c r="J68" s="3"/>
      <c r="K68" s="3"/>
      <c r="L68" s="3"/>
      <c r="M68" s="3"/>
      <c r="N68" s="3"/>
      <c r="O68" s="3">
        <f>COUNTA(표1_423[[#This Row],[죄명(한글)]:[죄명(한글)12]])</f>
        <v>5</v>
      </c>
    </row>
    <row r="69" spans="1:15" x14ac:dyDescent="0.4">
      <c r="A69" s="1">
        <v>210</v>
      </c>
      <c r="B69" s="1" t="s">
        <v>201</v>
      </c>
      <c r="C69" s="3" t="s">
        <v>15</v>
      </c>
      <c r="D69" s="3" t="s">
        <v>17</v>
      </c>
      <c r="E69" s="3" t="s">
        <v>14</v>
      </c>
      <c r="F69" s="3" t="s">
        <v>102</v>
      </c>
      <c r="G69" s="3" t="s">
        <v>166</v>
      </c>
      <c r="H69" s="3" t="s">
        <v>84</v>
      </c>
      <c r="I69" s="3" t="s">
        <v>202</v>
      </c>
      <c r="J69" s="3"/>
      <c r="K69" s="3"/>
      <c r="L69" s="3"/>
      <c r="M69" s="3"/>
      <c r="N69" s="3"/>
      <c r="O69" s="3">
        <f>COUNTA(표1_423[[#This Row],[죄명(한글)]:[죄명(한글)12]])</f>
        <v>7</v>
      </c>
    </row>
    <row r="70" spans="1:15" x14ac:dyDescent="0.4">
      <c r="A70" s="1">
        <v>212</v>
      </c>
      <c r="B70" s="1" t="s">
        <v>203</v>
      </c>
      <c r="C70" s="2" t="s">
        <v>131</v>
      </c>
      <c r="D70" s="3" t="s">
        <v>204</v>
      </c>
      <c r="E70" s="3" t="s">
        <v>199</v>
      </c>
      <c r="F70" s="3" t="s">
        <v>205</v>
      </c>
      <c r="G70" s="3" t="s">
        <v>153</v>
      </c>
      <c r="H70" s="3" t="s">
        <v>17</v>
      </c>
      <c r="I70" s="3"/>
      <c r="J70" s="3"/>
      <c r="K70" s="3"/>
      <c r="L70" s="3"/>
      <c r="M70" s="3"/>
      <c r="N70" s="3"/>
      <c r="O70" s="3">
        <f>COUNTA(표1_423[[#This Row],[죄명(한글)]:[죄명(한글)12]])</f>
        <v>6</v>
      </c>
    </row>
    <row r="71" spans="1:15" x14ac:dyDescent="0.4">
      <c r="A71" s="1">
        <v>213</v>
      </c>
      <c r="B71" s="1" t="s">
        <v>206</v>
      </c>
      <c r="C71" s="2" t="s">
        <v>207</v>
      </c>
      <c r="D71" s="3" t="s">
        <v>34</v>
      </c>
      <c r="E71" s="3" t="s">
        <v>166</v>
      </c>
      <c r="F71" s="3" t="s">
        <v>168</v>
      </c>
      <c r="G71" s="3"/>
      <c r="H71" s="3"/>
      <c r="I71" s="3"/>
      <c r="J71" s="3"/>
      <c r="K71" s="3"/>
      <c r="L71" s="3"/>
      <c r="M71" s="3"/>
      <c r="N71" s="3"/>
      <c r="O71" s="3">
        <f>COUNTA(표1_423[[#This Row],[죄명(한글)]:[죄명(한글)12]])</f>
        <v>4</v>
      </c>
    </row>
    <row r="72" spans="1:15" x14ac:dyDescent="0.4">
      <c r="A72" s="1">
        <v>213</v>
      </c>
      <c r="B72" s="1" t="s">
        <v>206</v>
      </c>
      <c r="C72" s="2" t="s">
        <v>60</v>
      </c>
      <c r="D72" s="3" t="s">
        <v>34</v>
      </c>
      <c r="E72" s="3" t="s">
        <v>131</v>
      </c>
      <c r="F72" s="3" t="s">
        <v>208</v>
      </c>
      <c r="G72" s="3"/>
      <c r="H72" s="3"/>
      <c r="I72" s="3"/>
      <c r="J72" s="3"/>
      <c r="K72" s="3"/>
      <c r="L72" s="3"/>
      <c r="M72" s="3"/>
      <c r="N72" s="3"/>
      <c r="O72" s="3">
        <f>COUNTA(표1_423[[#This Row],[죄명(한글)]:[죄명(한글)12]])</f>
        <v>4</v>
      </c>
    </row>
    <row r="73" spans="1:15" x14ac:dyDescent="0.4">
      <c r="A73" s="1">
        <v>214</v>
      </c>
      <c r="B73" s="1" t="s">
        <v>209</v>
      </c>
      <c r="C73" s="3" t="s">
        <v>38</v>
      </c>
      <c r="D73" s="3" t="s">
        <v>121</v>
      </c>
      <c r="E73" s="3" t="s">
        <v>100</v>
      </c>
      <c r="F73" s="3"/>
      <c r="G73" s="3"/>
      <c r="H73" s="3"/>
      <c r="I73" s="3"/>
      <c r="J73" s="3"/>
      <c r="K73" s="3"/>
      <c r="L73" s="3"/>
      <c r="M73" s="3"/>
      <c r="N73" s="3"/>
      <c r="O73" s="3">
        <f>COUNTA(표1_423[[#This Row],[죄명(한글)]:[죄명(한글)12]])</f>
        <v>3</v>
      </c>
    </row>
    <row r="74" spans="1:15" x14ac:dyDescent="0.4">
      <c r="A74" s="1">
        <v>215</v>
      </c>
      <c r="B74" s="1" t="s">
        <v>210</v>
      </c>
      <c r="C74" s="3" t="s">
        <v>65</v>
      </c>
      <c r="D74" s="3" t="s">
        <v>153</v>
      </c>
      <c r="E74" s="3" t="s">
        <v>211</v>
      </c>
      <c r="F74" s="3" t="s">
        <v>199</v>
      </c>
      <c r="G74" s="3" t="s">
        <v>17</v>
      </c>
      <c r="H74" s="3"/>
      <c r="I74" s="3"/>
      <c r="J74" s="3"/>
      <c r="K74" s="3"/>
      <c r="L74" s="3"/>
      <c r="M74" s="3"/>
      <c r="N74" s="3"/>
      <c r="O74" s="3">
        <f>COUNTA(표1_423[[#This Row],[죄명(한글)]:[죄명(한글)12]])</f>
        <v>5</v>
      </c>
    </row>
    <row r="75" spans="1:15" x14ac:dyDescent="0.4">
      <c r="A75" s="1">
        <v>216</v>
      </c>
      <c r="B75" s="1" t="s">
        <v>212</v>
      </c>
      <c r="C75" s="2" t="s">
        <v>213</v>
      </c>
      <c r="D75" s="3" t="s">
        <v>214</v>
      </c>
      <c r="E75" s="3" t="s">
        <v>17</v>
      </c>
      <c r="F75" s="3" t="s">
        <v>25</v>
      </c>
      <c r="G75" s="3"/>
      <c r="H75" s="3"/>
      <c r="I75" s="3"/>
      <c r="J75" s="3"/>
      <c r="K75" s="3"/>
      <c r="L75" s="3"/>
      <c r="M75" s="3"/>
      <c r="N75" s="3"/>
      <c r="O75" s="3">
        <f>COUNTA(표1_423[[#This Row],[죄명(한글)]:[죄명(한글)12]])</f>
        <v>4</v>
      </c>
    </row>
    <row r="76" spans="1:15" x14ac:dyDescent="0.4">
      <c r="A76" s="1">
        <v>217</v>
      </c>
      <c r="B76" s="1" t="s">
        <v>215</v>
      </c>
      <c r="C76" s="3" t="s">
        <v>84</v>
      </c>
      <c r="D76" s="3" t="s">
        <v>166</v>
      </c>
      <c r="E76" s="3" t="s">
        <v>102</v>
      </c>
      <c r="F76" s="3" t="s">
        <v>17</v>
      </c>
      <c r="G76" s="3" t="s">
        <v>56</v>
      </c>
      <c r="H76" s="3" t="s">
        <v>216</v>
      </c>
      <c r="I76" s="3"/>
      <c r="J76" s="3"/>
      <c r="K76" s="3"/>
      <c r="L76" s="3"/>
      <c r="M76" s="3"/>
      <c r="N76" s="3"/>
      <c r="O76" s="3">
        <f>COUNTA(표1_423[[#This Row],[죄명(한글)]:[죄명(한글)12]])</f>
        <v>6</v>
      </c>
    </row>
    <row r="77" spans="1:15" x14ac:dyDescent="0.4">
      <c r="A77" s="1">
        <v>218</v>
      </c>
      <c r="B77" s="1" t="s">
        <v>217</v>
      </c>
      <c r="C77" s="2" t="s">
        <v>56</v>
      </c>
      <c r="D77" s="3" t="s">
        <v>17</v>
      </c>
      <c r="E77" s="3" t="s">
        <v>60</v>
      </c>
      <c r="F77" s="3" t="s">
        <v>135</v>
      </c>
      <c r="G77" s="3"/>
      <c r="H77" s="3"/>
      <c r="I77" s="3"/>
      <c r="J77" s="3"/>
      <c r="K77" s="3"/>
      <c r="L77" s="3"/>
      <c r="M77" s="3"/>
      <c r="N77" s="3"/>
      <c r="O77" s="3">
        <f>COUNTA(표1_423[[#This Row],[죄명(한글)]:[죄명(한글)12]])</f>
        <v>4</v>
      </c>
    </row>
    <row r="78" spans="1:15" x14ac:dyDescent="0.4">
      <c r="A78" s="1">
        <v>226</v>
      </c>
      <c r="B78" s="1" t="s">
        <v>218</v>
      </c>
      <c r="C78" s="2" t="s">
        <v>219</v>
      </c>
      <c r="D78" s="3" t="s">
        <v>220</v>
      </c>
      <c r="E78" s="3" t="s">
        <v>221</v>
      </c>
      <c r="F78" s="3" t="s">
        <v>222</v>
      </c>
      <c r="G78" s="3" t="s">
        <v>223</v>
      </c>
      <c r="H78" s="3" t="s">
        <v>224</v>
      </c>
      <c r="I78" s="3"/>
      <c r="J78" s="3"/>
      <c r="K78" s="3"/>
      <c r="L78" s="3"/>
      <c r="M78" s="3"/>
      <c r="N78" s="3"/>
      <c r="O78" s="3">
        <f>COUNTA(표1_423[[#This Row],[죄명(한글)]:[죄명(한글)12]])</f>
        <v>6</v>
      </c>
    </row>
    <row r="79" spans="1:15" x14ac:dyDescent="0.4">
      <c r="A79" s="1">
        <v>228</v>
      </c>
      <c r="B79" s="1" t="s">
        <v>225</v>
      </c>
      <c r="C79" s="2" t="s">
        <v>34</v>
      </c>
      <c r="D79" s="3" t="s">
        <v>163</v>
      </c>
      <c r="E79" s="3" t="s">
        <v>166</v>
      </c>
      <c r="F79" s="3" t="s">
        <v>226</v>
      </c>
      <c r="G79" s="3"/>
      <c r="H79" s="3"/>
      <c r="I79" s="3"/>
      <c r="J79" s="3"/>
      <c r="K79" s="3"/>
      <c r="L79" s="3"/>
      <c r="M79" s="3"/>
      <c r="N79" s="3"/>
      <c r="O79" s="3">
        <f>COUNTA(표1_423[[#This Row],[죄명(한글)]:[죄명(한글)12]])</f>
        <v>4</v>
      </c>
    </row>
    <row r="80" spans="1:15" x14ac:dyDescent="0.4">
      <c r="A80" s="1">
        <v>229</v>
      </c>
      <c r="B80" s="1" t="s">
        <v>227</v>
      </c>
      <c r="C80" s="3" t="s">
        <v>131</v>
      </c>
      <c r="D80" s="3" t="s">
        <v>15</v>
      </c>
      <c r="E80" s="3" t="s">
        <v>163</v>
      </c>
      <c r="F80" s="3" t="s">
        <v>168</v>
      </c>
      <c r="G80" s="3" t="s">
        <v>228</v>
      </c>
      <c r="H80" s="3" t="s">
        <v>121</v>
      </c>
      <c r="I80" s="3"/>
      <c r="J80" s="3"/>
      <c r="K80" s="3"/>
      <c r="L80" s="3"/>
      <c r="M80" s="3"/>
      <c r="N80" s="3"/>
      <c r="O80" s="3">
        <f>COUNTA(표1_423[[#This Row],[죄명(한글)]:[죄명(한글)12]])</f>
        <v>6</v>
      </c>
    </row>
    <row r="81" spans="1:15" x14ac:dyDescent="0.4">
      <c r="A81" s="1">
        <v>232</v>
      </c>
      <c r="B81" s="1" t="s">
        <v>229</v>
      </c>
      <c r="C81" s="3" t="s">
        <v>17</v>
      </c>
      <c r="D81" s="3" t="s">
        <v>226</v>
      </c>
      <c r="E81" s="3"/>
      <c r="F81" s="3"/>
      <c r="G81" s="3"/>
      <c r="H81" s="3"/>
      <c r="I81" s="3"/>
      <c r="J81" s="3"/>
      <c r="K81" s="3"/>
      <c r="L81" s="3"/>
      <c r="M81" s="3"/>
      <c r="N81" s="3"/>
      <c r="O81" s="3">
        <f>COUNTA(표1_423[[#This Row],[죄명(한글)]:[죄명(한글)12]])</f>
        <v>2</v>
      </c>
    </row>
    <row r="82" spans="1:15" x14ac:dyDescent="0.4">
      <c r="A82" s="1">
        <v>234</v>
      </c>
      <c r="B82" s="1" t="s">
        <v>230</v>
      </c>
      <c r="C82" s="2" t="s">
        <v>207</v>
      </c>
      <c r="D82" s="3" t="s">
        <v>34</v>
      </c>
      <c r="E82" s="3" t="s">
        <v>163</v>
      </c>
      <c r="F82" s="3" t="s">
        <v>131</v>
      </c>
      <c r="G82" s="3" t="s">
        <v>26</v>
      </c>
      <c r="H82" s="3" t="s">
        <v>172</v>
      </c>
      <c r="I82" s="3"/>
      <c r="J82" s="3"/>
      <c r="K82" s="3"/>
      <c r="L82" s="3"/>
      <c r="M82" s="3"/>
      <c r="N82" s="3"/>
      <c r="O82" s="3">
        <f>COUNTA(표1_423[[#This Row],[죄명(한글)]:[죄명(한글)12]])</f>
        <v>6</v>
      </c>
    </row>
    <row r="83" spans="1:15" x14ac:dyDescent="0.4">
      <c r="A83" s="1">
        <v>235</v>
      </c>
      <c r="B83" s="1" t="s">
        <v>231</v>
      </c>
      <c r="C83" s="3" t="s">
        <v>166</v>
      </c>
      <c r="D83" s="3" t="s">
        <v>232</v>
      </c>
      <c r="E83" s="3" t="s">
        <v>17</v>
      </c>
      <c r="F83" s="3" t="s">
        <v>233</v>
      </c>
      <c r="G83" s="3" t="s">
        <v>56</v>
      </c>
      <c r="H83" s="3" t="s">
        <v>234</v>
      </c>
      <c r="I83" s="3"/>
      <c r="J83" s="3"/>
      <c r="K83" s="3"/>
      <c r="L83" s="3"/>
      <c r="M83" s="3"/>
      <c r="N83" s="3"/>
      <c r="O83" s="3">
        <f>COUNTA(표1_423[[#This Row],[죄명(한글)]:[죄명(한글)12]])</f>
        <v>6</v>
      </c>
    </row>
    <row r="84" spans="1:15" x14ac:dyDescent="0.4">
      <c r="A84" s="1">
        <v>237</v>
      </c>
      <c r="B84" s="1" t="s">
        <v>235</v>
      </c>
      <c r="C84" s="3" t="s">
        <v>236</v>
      </c>
      <c r="D84" s="3" t="s">
        <v>84</v>
      </c>
      <c r="E84" s="3" t="s">
        <v>17</v>
      </c>
      <c r="F84" s="3" t="s">
        <v>221</v>
      </c>
      <c r="G84" s="3" t="s">
        <v>237</v>
      </c>
      <c r="H84" s="3"/>
      <c r="I84" s="3"/>
      <c r="J84" s="3"/>
      <c r="K84" s="3"/>
      <c r="L84" s="3"/>
      <c r="M84" s="3"/>
      <c r="N84" s="3"/>
      <c r="O84" s="3">
        <f>COUNTA(표1_423[[#This Row],[죄명(한글)]:[죄명(한글)12]])</f>
        <v>5</v>
      </c>
    </row>
    <row r="85" spans="1:15" x14ac:dyDescent="0.4">
      <c r="A85" s="1">
        <v>243</v>
      </c>
      <c r="B85" s="1" t="s">
        <v>238</v>
      </c>
      <c r="C85" s="3" t="s">
        <v>153</v>
      </c>
      <c r="D85" s="3" t="s">
        <v>199</v>
      </c>
      <c r="E85" s="3" t="s">
        <v>17</v>
      </c>
      <c r="F85" s="3" t="s">
        <v>205</v>
      </c>
      <c r="G85" s="3" t="s">
        <v>204</v>
      </c>
      <c r="H85" s="3" t="s">
        <v>163</v>
      </c>
      <c r="I85" s="3" t="s">
        <v>239</v>
      </c>
      <c r="J85" s="3" t="s">
        <v>240</v>
      </c>
      <c r="K85" s="3" t="s">
        <v>56</v>
      </c>
      <c r="L85" s="3" t="s">
        <v>241</v>
      </c>
      <c r="M85" s="3"/>
      <c r="N85" s="3"/>
      <c r="O85" s="3">
        <f>COUNTA(표1_423[[#This Row],[죄명(한글)]:[죄명(한글)12]])</f>
        <v>10</v>
      </c>
    </row>
    <row r="86" spans="1:15" x14ac:dyDescent="0.4">
      <c r="A86" s="1">
        <v>244</v>
      </c>
      <c r="B86" s="1" t="s">
        <v>242</v>
      </c>
      <c r="C86" s="3" t="s">
        <v>243</v>
      </c>
      <c r="D86" s="3" t="s">
        <v>244</v>
      </c>
      <c r="E86" s="3" t="s">
        <v>196</v>
      </c>
      <c r="F86" s="3" t="s">
        <v>221</v>
      </c>
      <c r="G86" s="3"/>
      <c r="H86" s="3"/>
      <c r="I86" s="3"/>
      <c r="J86" s="3"/>
      <c r="K86" s="3"/>
      <c r="L86" s="3"/>
      <c r="M86" s="3"/>
      <c r="N86" s="3"/>
      <c r="O86" s="3">
        <f>COUNTA(표1_423[[#This Row],[죄명(한글)]:[죄명(한글)12]])</f>
        <v>4</v>
      </c>
    </row>
    <row r="87" spans="1:15" x14ac:dyDescent="0.4">
      <c r="A87" s="1">
        <v>248</v>
      </c>
      <c r="B87" s="1" t="s">
        <v>245</v>
      </c>
      <c r="C87" s="3" t="s">
        <v>121</v>
      </c>
      <c r="D87" s="3" t="s">
        <v>38</v>
      </c>
      <c r="E87" s="3" t="s">
        <v>172</v>
      </c>
      <c r="F87" s="3" t="s">
        <v>246</v>
      </c>
      <c r="G87" s="3"/>
      <c r="H87" s="3"/>
      <c r="I87" s="3"/>
      <c r="J87" s="3"/>
      <c r="K87" s="3"/>
      <c r="L87" s="3"/>
      <c r="M87" s="3"/>
      <c r="N87" s="3"/>
      <c r="O87" s="3">
        <f>COUNTA(표1_423[[#This Row],[죄명(한글)]:[죄명(한글)12]])</f>
        <v>4</v>
      </c>
    </row>
    <row r="88" spans="1:15" x14ac:dyDescent="0.4">
      <c r="A88" s="1">
        <v>249</v>
      </c>
      <c r="B88" s="1" t="s">
        <v>247</v>
      </c>
      <c r="C88" s="3" t="s">
        <v>166</v>
      </c>
      <c r="D88" s="3" t="s">
        <v>248</v>
      </c>
      <c r="E88" s="3" t="s">
        <v>26</v>
      </c>
      <c r="F88" s="3" t="s">
        <v>38</v>
      </c>
      <c r="G88" s="3" t="s">
        <v>246</v>
      </c>
      <c r="H88" s="3" t="s">
        <v>249</v>
      </c>
      <c r="I88" s="3"/>
      <c r="J88" s="3"/>
      <c r="K88" s="3"/>
      <c r="L88" s="3"/>
      <c r="M88" s="3"/>
      <c r="N88" s="3"/>
      <c r="O88" s="3">
        <f>COUNTA(표1_423[[#This Row],[죄명(한글)]:[죄명(한글)12]])</f>
        <v>6</v>
      </c>
    </row>
    <row r="89" spans="1:15" x14ac:dyDescent="0.4">
      <c r="A89" s="1">
        <v>253</v>
      </c>
      <c r="B89" s="1" t="s">
        <v>250</v>
      </c>
      <c r="C89" s="3" t="s">
        <v>84</v>
      </c>
      <c r="D89" s="3" t="s">
        <v>240</v>
      </c>
      <c r="E89" s="3" t="s">
        <v>251</v>
      </c>
      <c r="F89" s="3" t="s">
        <v>166</v>
      </c>
      <c r="G89" s="3" t="s">
        <v>252</v>
      </c>
      <c r="H89" s="3" t="s">
        <v>246</v>
      </c>
      <c r="I89" s="3"/>
      <c r="J89" s="3"/>
      <c r="K89" s="3"/>
      <c r="L89" s="3"/>
      <c r="M89" s="3"/>
      <c r="N89" s="3"/>
      <c r="O89" s="3">
        <f>COUNTA(표1_423[[#This Row],[죄명(한글)]:[죄명(한글)12]])</f>
        <v>6</v>
      </c>
    </row>
    <row r="90" spans="1:15" x14ac:dyDescent="0.4">
      <c r="A90" s="1">
        <v>254</v>
      </c>
      <c r="B90" s="1" t="s">
        <v>253</v>
      </c>
      <c r="C90" s="3" t="s">
        <v>31</v>
      </c>
      <c r="D90" s="3" t="s">
        <v>166</v>
      </c>
      <c r="E90" s="3" t="s">
        <v>102</v>
      </c>
      <c r="F90" s="3" t="s">
        <v>14</v>
      </c>
      <c r="G90" s="3" t="s">
        <v>246</v>
      </c>
      <c r="H90" s="3"/>
      <c r="I90" s="3"/>
      <c r="J90" s="3"/>
      <c r="K90" s="3"/>
      <c r="L90" s="3"/>
      <c r="M90" s="3"/>
      <c r="N90" s="3"/>
      <c r="O90" s="3">
        <f>COUNTA(표1_423[[#This Row],[죄명(한글)]:[죄명(한글)12]])</f>
        <v>5</v>
      </c>
    </row>
    <row r="91" spans="1:15" x14ac:dyDescent="0.4">
      <c r="A91" s="1">
        <v>262</v>
      </c>
      <c r="B91" s="1" t="s">
        <v>254</v>
      </c>
      <c r="C91" s="3" t="s">
        <v>131</v>
      </c>
      <c r="D91" s="3" t="s">
        <v>34</v>
      </c>
      <c r="E91" s="3" t="s">
        <v>65</v>
      </c>
      <c r="F91" s="3" t="s">
        <v>49</v>
      </c>
      <c r="G91" s="3" t="s">
        <v>199</v>
      </c>
      <c r="H91" s="3" t="s">
        <v>246</v>
      </c>
      <c r="I91" s="3" t="s">
        <v>255</v>
      </c>
      <c r="J91" s="3" t="s">
        <v>256</v>
      </c>
      <c r="K91" s="3" t="s">
        <v>257</v>
      </c>
      <c r="L91" s="3"/>
      <c r="M91" s="3"/>
      <c r="N91" s="3"/>
      <c r="O91" s="3">
        <f>COUNTA(표1_423[[#This Row],[죄명(한글)]:[죄명(한글)12]])</f>
        <v>9</v>
      </c>
    </row>
    <row r="92" spans="1:15" x14ac:dyDescent="0.4">
      <c r="A92" s="1">
        <v>263</v>
      </c>
      <c r="B92" s="1" t="s">
        <v>258</v>
      </c>
      <c r="C92" s="2" t="s">
        <v>38</v>
      </c>
      <c r="D92" s="3" t="s">
        <v>207</v>
      </c>
      <c r="E92" s="3" t="s">
        <v>246</v>
      </c>
      <c r="F92" s="3" t="s">
        <v>90</v>
      </c>
      <c r="G92" s="3" t="s">
        <v>259</v>
      </c>
      <c r="H92" s="3"/>
      <c r="I92" s="3"/>
      <c r="J92" s="3"/>
      <c r="K92" s="3"/>
      <c r="L92" s="3"/>
      <c r="M92" s="3"/>
      <c r="N92" s="3"/>
      <c r="O92" s="3">
        <f>COUNTA(표1_423[[#This Row],[죄명(한글)]:[죄명(한글)12]])</f>
        <v>5</v>
      </c>
    </row>
    <row r="93" spans="1:15" x14ac:dyDescent="0.4">
      <c r="A93" s="1">
        <v>264</v>
      </c>
      <c r="B93" s="1" t="s">
        <v>260</v>
      </c>
      <c r="C93" s="2" t="s">
        <v>38</v>
      </c>
      <c r="D93" s="3" t="s">
        <v>261</v>
      </c>
      <c r="E93" s="3" t="s">
        <v>166</v>
      </c>
      <c r="F93" s="3" t="s">
        <v>172</v>
      </c>
      <c r="G93" s="3" t="s">
        <v>246</v>
      </c>
      <c r="H93" s="3" t="s">
        <v>26</v>
      </c>
      <c r="I93" s="3" t="s">
        <v>34</v>
      </c>
      <c r="J93" s="3" t="s">
        <v>181</v>
      </c>
      <c r="K93" s="3" t="s">
        <v>90</v>
      </c>
      <c r="L93" s="3" t="s">
        <v>259</v>
      </c>
      <c r="M93" s="3"/>
      <c r="N93" s="3"/>
      <c r="O93" s="3">
        <f>COUNTA(표1_423[[#This Row],[죄명(한글)]:[죄명(한글)12]])</f>
        <v>10</v>
      </c>
    </row>
    <row r="94" spans="1:15" x14ac:dyDescent="0.4">
      <c r="A94" s="1">
        <v>265</v>
      </c>
      <c r="B94" s="1" t="s">
        <v>262</v>
      </c>
      <c r="C94" s="3" t="s">
        <v>65</v>
      </c>
      <c r="D94" s="3" t="s">
        <v>34</v>
      </c>
      <c r="E94" s="3" t="s">
        <v>26</v>
      </c>
      <c r="F94" s="3" t="s">
        <v>246</v>
      </c>
      <c r="G94" s="3" t="s">
        <v>90</v>
      </c>
      <c r="H94" s="3" t="s">
        <v>172</v>
      </c>
      <c r="I94" s="3" t="s">
        <v>17</v>
      </c>
      <c r="J94" s="3"/>
      <c r="K94" s="3"/>
      <c r="L94" s="3"/>
      <c r="M94" s="3"/>
      <c r="N94" s="3"/>
      <c r="O94" s="3">
        <f>COUNTA(표1_423[[#This Row],[죄명(한글)]:[죄명(한글)12]])</f>
        <v>7</v>
      </c>
    </row>
    <row r="95" spans="1:15" x14ac:dyDescent="0.4">
      <c r="A95" s="1">
        <v>282</v>
      </c>
      <c r="B95" s="1" t="s">
        <v>263</v>
      </c>
      <c r="C95" s="2" t="s">
        <v>34</v>
      </c>
      <c r="D95" s="3" t="s">
        <v>241</v>
      </c>
      <c r="E95" s="3" t="s">
        <v>38</v>
      </c>
      <c r="F95" s="3" t="s">
        <v>246</v>
      </c>
      <c r="G95" s="3" t="s">
        <v>172</v>
      </c>
      <c r="H95" s="3" t="s">
        <v>264</v>
      </c>
      <c r="I95" s="3" t="s">
        <v>265</v>
      </c>
      <c r="J95" s="3"/>
      <c r="K95" s="3"/>
      <c r="L95" s="3"/>
      <c r="M95" s="3"/>
      <c r="N95" s="3"/>
      <c r="O95" s="3">
        <f>COUNTA(표1_423[[#This Row],[죄명(한글)]:[죄명(한글)12]])</f>
        <v>7</v>
      </c>
    </row>
    <row r="96" spans="1:15" x14ac:dyDescent="0.4">
      <c r="A96" s="1">
        <v>285</v>
      </c>
      <c r="B96" s="1" t="s">
        <v>266</v>
      </c>
      <c r="C96" s="2" t="s">
        <v>131</v>
      </c>
      <c r="D96" s="3" t="s">
        <v>166</v>
      </c>
      <c r="E96" s="3" t="s">
        <v>246</v>
      </c>
      <c r="F96" s="3" t="s">
        <v>264</v>
      </c>
      <c r="G96" s="3" t="s">
        <v>34</v>
      </c>
      <c r="H96" s="3" t="s">
        <v>172</v>
      </c>
      <c r="I96" s="3" t="s">
        <v>267</v>
      </c>
      <c r="J96" s="3"/>
      <c r="K96" s="3"/>
      <c r="L96" s="3"/>
      <c r="M96" s="3"/>
      <c r="N96" s="3"/>
      <c r="O96" s="3">
        <f>COUNTA(표1_423[[#This Row],[죄명(한글)]:[죄명(한글)12]])</f>
        <v>7</v>
      </c>
    </row>
    <row r="97" spans="1:15" x14ac:dyDescent="0.4">
      <c r="A97" s="1">
        <v>289</v>
      </c>
      <c r="B97" s="1" t="s">
        <v>268</v>
      </c>
      <c r="C97" s="2" t="s">
        <v>34</v>
      </c>
      <c r="D97" s="3" t="s">
        <v>166</v>
      </c>
      <c r="E97" s="3" t="s">
        <v>246</v>
      </c>
      <c r="F97" s="3" t="s">
        <v>172</v>
      </c>
      <c r="G97" s="3" t="s">
        <v>102</v>
      </c>
      <c r="H97" s="3" t="s">
        <v>264</v>
      </c>
      <c r="I97" s="3" t="s">
        <v>265</v>
      </c>
      <c r="J97" s="3" t="s">
        <v>199</v>
      </c>
      <c r="K97" s="3" t="s">
        <v>65</v>
      </c>
      <c r="L97" s="3"/>
      <c r="M97" s="3"/>
      <c r="N97" s="3"/>
      <c r="O97" s="3">
        <f>COUNTA(표1_423[[#This Row],[죄명(한글)]:[죄명(한글)12]])</f>
        <v>9</v>
      </c>
    </row>
    <row r="98" spans="1:15" x14ac:dyDescent="0.4">
      <c r="A98" s="1">
        <v>290</v>
      </c>
      <c r="B98" s="1" t="s">
        <v>269</v>
      </c>
      <c r="C98" s="2" t="s">
        <v>131</v>
      </c>
      <c r="D98" s="3" t="s">
        <v>166</v>
      </c>
      <c r="E98" s="3" t="s">
        <v>246</v>
      </c>
      <c r="F98" s="3" t="s">
        <v>172</v>
      </c>
      <c r="G98" s="3" t="s">
        <v>34</v>
      </c>
      <c r="H98" s="3" t="s">
        <v>58</v>
      </c>
      <c r="I98" s="3" t="s">
        <v>264</v>
      </c>
      <c r="J98" s="3" t="s">
        <v>265</v>
      </c>
      <c r="K98" s="3" t="s">
        <v>267</v>
      </c>
      <c r="L98" s="3"/>
      <c r="M98" s="3"/>
      <c r="N98" s="3"/>
      <c r="O98" s="3">
        <f>COUNTA(표1_423[[#This Row],[죄명(한글)]:[죄명(한글)12]])</f>
        <v>9</v>
      </c>
    </row>
    <row r="99" spans="1:15" x14ac:dyDescent="0.4">
      <c r="A99" s="1">
        <v>293</v>
      </c>
      <c r="B99" s="1" t="s">
        <v>270</v>
      </c>
      <c r="C99" s="2" t="s">
        <v>185</v>
      </c>
      <c r="D99" s="3" t="s">
        <v>156</v>
      </c>
      <c r="E99" s="3" t="s">
        <v>246</v>
      </c>
      <c r="F99" s="3" t="s">
        <v>166</v>
      </c>
      <c r="G99" s="3" t="s">
        <v>264</v>
      </c>
      <c r="H99" s="3"/>
      <c r="I99" s="3"/>
      <c r="J99" s="3"/>
      <c r="K99" s="3"/>
      <c r="L99" s="3"/>
      <c r="M99" s="3"/>
      <c r="N99" s="3"/>
      <c r="O99" s="3">
        <f>COUNTA(표1_423[[#This Row],[죄명(한글)]:[죄명(한글)12]])</f>
        <v>5</v>
      </c>
    </row>
    <row r="100" spans="1:15" x14ac:dyDescent="0.4">
      <c r="A100" s="1">
        <v>301</v>
      </c>
      <c r="B100" s="1" t="s">
        <v>271</v>
      </c>
      <c r="C100" s="2" t="s">
        <v>272</v>
      </c>
      <c r="D100" s="3" t="s">
        <v>17</v>
      </c>
      <c r="E100" s="3" t="s">
        <v>259</v>
      </c>
      <c r="F100" s="3" t="s">
        <v>273</v>
      </c>
      <c r="G100" s="3" t="s">
        <v>188</v>
      </c>
      <c r="H100" s="3" t="s">
        <v>233</v>
      </c>
      <c r="I100" s="3"/>
      <c r="J100" s="3"/>
      <c r="K100" s="3"/>
      <c r="L100" s="3"/>
      <c r="M100" s="3"/>
      <c r="N100" s="3"/>
      <c r="O100" s="3">
        <f>COUNTA(표1_423[[#This Row],[죄명(한글)]:[죄명(한글)12]])</f>
        <v>6</v>
      </c>
    </row>
    <row r="101" spans="1:15" x14ac:dyDescent="0.4">
      <c r="A101" s="1">
        <v>306</v>
      </c>
      <c r="B101" s="1" t="s">
        <v>274</v>
      </c>
      <c r="C101" s="3" t="s">
        <v>275</v>
      </c>
      <c r="D101" s="3" t="s">
        <v>34</v>
      </c>
      <c r="E101" s="3" t="s">
        <v>276</v>
      </c>
      <c r="F101" s="3" t="s">
        <v>277</v>
      </c>
      <c r="G101" s="3" t="s">
        <v>278</v>
      </c>
      <c r="H101" s="3"/>
      <c r="I101" s="3"/>
      <c r="J101" s="3"/>
      <c r="K101" s="3"/>
      <c r="L101" s="3"/>
      <c r="M101" s="3"/>
      <c r="N101" s="3"/>
      <c r="O101" s="3">
        <f>COUNTA(표1_423[[#This Row],[죄명(한글)]:[죄명(한글)12]])</f>
        <v>5</v>
      </c>
    </row>
    <row r="102" spans="1:15" x14ac:dyDescent="0.4">
      <c r="A102" s="1">
        <v>307</v>
      </c>
      <c r="B102" s="1" t="s">
        <v>279</v>
      </c>
      <c r="C102" s="2" t="s">
        <v>280</v>
      </c>
      <c r="D102" s="3" t="s">
        <v>281</v>
      </c>
      <c r="E102" s="3" t="s">
        <v>282</v>
      </c>
      <c r="F102" s="3" t="s">
        <v>102</v>
      </c>
      <c r="G102" s="3" t="s">
        <v>207</v>
      </c>
      <c r="H102" s="3" t="s">
        <v>267</v>
      </c>
      <c r="I102" s="3"/>
      <c r="J102" s="3"/>
      <c r="K102" s="3"/>
      <c r="L102" s="3"/>
      <c r="M102" s="3"/>
      <c r="N102" s="3"/>
      <c r="O102" s="3">
        <f>COUNTA(표1_423[[#This Row],[죄명(한글)]:[죄명(한글)12]])</f>
        <v>6</v>
      </c>
    </row>
    <row r="103" spans="1:15" x14ac:dyDescent="0.4">
      <c r="A103" s="1">
        <v>312</v>
      </c>
      <c r="B103" s="1" t="s">
        <v>283</v>
      </c>
      <c r="C103" s="2" t="s">
        <v>17</v>
      </c>
      <c r="D103" s="3" t="s">
        <v>246</v>
      </c>
      <c r="E103" s="3" t="s">
        <v>272</v>
      </c>
      <c r="F103" s="3" t="s">
        <v>207</v>
      </c>
      <c r="G103" s="3" t="s">
        <v>284</v>
      </c>
      <c r="H103" s="3" t="s">
        <v>285</v>
      </c>
      <c r="I103" s="3"/>
      <c r="J103" s="3"/>
      <c r="K103" s="3"/>
      <c r="L103" s="3"/>
      <c r="M103" s="3"/>
      <c r="N103" s="3"/>
      <c r="O103" s="3">
        <f>COUNTA(표1_423[[#This Row],[죄명(한글)]:[죄명(한글)12]])</f>
        <v>6</v>
      </c>
    </row>
    <row r="104" spans="1:15" x14ac:dyDescent="0.4">
      <c r="A104" s="1">
        <v>313</v>
      </c>
      <c r="B104" s="1" t="s">
        <v>286</v>
      </c>
      <c r="C104" s="2" t="s">
        <v>287</v>
      </c>
      <c r="D104" s="3" t="s">
        <v>207</v>
      </c>
      <c r="E104" s="3" t="s">
        <v>26</v>
      </c>
      <c r="F104" s="3" t="s">
        <v>172</v>
      </c>
      <c r="G104" s="3" t="s">
        <v>246</v>
      </c>
      <c r="H104" s="3"/>
      <c r="I104" s="3"/>
      <c r="J104" s="3"/>
      <c r="K104" s="3"/>
      <c r="L104" s="3"/>
      <c r="M104" s="3"/>
      <c r="N104" s="3"/>
      <c r="O104" s="3">
        <f>COUNTA(표1_423[[#This Row],[죄명(한글)]:[죄명(한글)12]])</f>
        <v>5</v>
      </c>
    </row>
    <row r="105" spans="1:15" x14ac:dyDescent="0.4">
      <c r="A105" s="1">
        <v>320</v>
      </c>
      <c r="B105" s="1" t="s">
        <v>288</v>
      </c>
      <c r="C105" s="2" t="s">
        <v>17</v>
      </c>
      <c r="D105" s="3" t="s">
        <v>207</v>
      </c>
      <c r="E105" s="3" t="s">
        <v>246</v>
      </c>
      <c r="F105" s="3" t="s">
        <v>166</v>
      </c>
      <c r="G105" s="3" t="s">
        <v>289</v>
      </c>
      <c r="H105" s="3" t="s">
        <v>284</v>
      </c>
      <c r="I105" s="3"/>
      <c r="J105" s="3"/>
      <c r="K105" s="3"/>
      <c r="L105" s="3"/>
      <c r="M105" s="3"/>
      <c r="N105" s="3"/>
      <c r="O105" s="3">
        <f>COUNTA(표1_423[[#This Row],[죄명(한글)]:[죄명(한글)12]])</f>
        <v>6</v>
      </c>
    </row>
    <row r="106" spans="1:15" x14ac:dyDescent="0.4">
      <c r="A106" s="1">
        <v>324</v>
      </c>
      <c r="B106" s="1" t="s">
        <v>290</v>
      </c>
      <c r="C106" s="2" t="s">
        <v>166</v>
      </c>
      <c r="D106" s="3" t="s">
        <v>246</v>
      </c>
      <c r="E106" s="3" t="s">
        <v>17</v>
      </c>
      <c r="F106" s="3" t="s">
        <v>172</v>
      </c>
      <c r="G106" s="3" t="s">
        <v>291</v>
      </c>
      <c r="H106" s="3" t="s">
        <v>74</v>
      </c>
      <c r="I106" s="3" t="s">
        <v>292</v>
      </c>
      <c r="J106" s="3"/>
      <c r="K106" s="3"/>
      <c r="L106" s="3"/>
      <c r="M106" s="3"/>
      <c r="N106" s="3"/>
      <c r="O106" s="3">
        <f>COUNTA(표1_423[[#This Row],[죄명(한글)]:[죄명(한글)12]])</f>
        <v>7</v>
      </c>
    </row>
    <row r="107" spans="1:15" x14ac:dyDescent="0.4">
      <c r="A107" s="1">
        <v>327</v>
      </c>
      <c r="B107" s="1" t="s">
        <v>293</v>
      </c>
      <c r="C107" s="2" t="s">
        <v>32</v>
      </c>
      <c r="D107" s="3" t="s">
        <v>58</v>
      </c>
      <c r="E107" s="3" t="s">
        <v>199</v>
      </c>
      <c r="F107" s="3" t="s">
        <v>34</v>
      </c>
      <c r="G107" s="3" t="s">
        <v>155</v>
      </c>
      <c r="H107" s="3" t="s">
        <v>294</v>
      </c>
      <c r="I107" s="3" t="s">
        <v>60</v>
      </c>
      <c r="J107" s="3"/>
      <c r="K107" s="3"/>
      <c r="L107" s="3"/>
      <c r="M107" s="3"/>
      <c r="N107" s="3"/>
      <c r="O107" s="3">
        <f>COUNTA(표1_423[[#This Row],[죄명(한글)]:[죄명(한글)12]])</f>
        <v>7</v>
      </c>
    </row>
    <row r="108" spans="1:15" x14ac:dyDescent="0.4">
      <c r="A108" s="1">
        <v>336</v>
      </c>
      <c r="B108" s="1" t="s">
        <v>295</v>
      </c>
      <c r="C108" s="2" t="s">
        <v>34</v>
      </c>
      <c r="D108" s="3" t="s">
        <v>121</v>
      </c>
      <c r="E108" s="3" t="s">
        <v>38</v>
      </c>
      <c r="F108" s="3"/>
      <c r="G108" s="3"/>
      <c r="H108" s="3"/>
      <c r="I108" s="3"/>
      <c r="J108" s="3"/>
      <c r="K108" s="3"/>
      <c r="L108" s="3"/>
      <c r="M108" s="3"/>
      <c r="N108" s="3"/>
      <c r="O108" s="3">
        <f>COUNTA(표1_423[[#This Row],[죄명(한글)]:[죄명(한글)12]])</f>
        <v>3</v>
      </c>
    </row>
    <row r="109" spans="1:15" x14ac:dyDescent="0.4">
      <c r="A109" s="1">
        <v>337</v>
      </c>
      <c r="B109" s="1" t="s">
        <v>296</v>
      </c>
      <c r="C109" s="2" t="s">
        <v>84</v>
      </c>
      <c r="D109" s="3" t="s">
        <v>65</v>
      </c>
      <c r="E109" s="3" t="s">
        <v>153</v>
      </c>
      <c r="F109" s="3" t="s">
        <v>297</v>
      </c>
      <c r="G109" s="3" t="s">
        <v>58</v>
      </c>
      <c r="H109" s="3" t="s">
        <v>56</v>
      </c>
      <c r="I109" s="3" t="s">
        <v>298</v>
      </c>
      <c r="J109" s="3" t="s">
        <v>17</v>
      </c>
      <c r="K109" s="3"/>
      <c r="L109" s="3"/>
      <c r="M109" s="3"/>
      <c r="N109" s="3"/>
      <c r="O109" s="3">
        <f>COUNTA(표1_423[[#This Row],[죄명(한글)]:[죄명(한글)12]])</f>
        <v>8</v>
      </c>
    </row>
    <row r="110" spans="1:15" x14ac:dyDescent="0.4">
      <c r="A110" s="1">
        <v>339</v>
      </c>
      <c r="B110" s="1" t="s">
        <v>299</v>
      </c>
      <c r="C110" s="2" t="s">
        <v>300</v>
      </c>
      <c r="D110" s="3" t="s">
        <v>301</v>
      </c>
      <c r="E110" s="3" t="s">
        <v>302</v>
      </c>
      <c r="F110" s="3" t="s">
        <v>303</v>
      </c>
      <c r="G110" s="3" t="s">
        <v>267</v>
      </c>
      <c r="H110" s="3"/>
      <c r="I110" s="3"/>
      <c r="J110" s="3"/>
      <c r="K110" s="3"/>
      <c r="L110" s="3"/>
      <c r="M110" s="3"/>
      <c r="N110" s="3"/>
      <c r="O110" s="3">
        <f>COUNTA(표1_423[[#This Row],[죄명(한글)]:[죄명(한글)12]])</f>
        <v>5</v>
      </c>
    </row>
    <row r="111" spans="1:15" x14ac:dyDescent="0.4">
      <c r="A111" s="1">
        <v>341</v>
      </c>
      <c r="B111" s="1" t="s">
        <v>304</v>
      </c>
      <c r="C111" s="2" t="s">
        <v>166</v>
      </c>
      <c r="D111" s="3" t="s">
        <v>72</v>
      </c>
      <c r="E111" s="3" t="s">
        <v>15</v>
      </c>
      <c r="F111" s="3" t="s">
        <v>246</v>
      </c>
      <c r="G111" s="3" t="s">
        <v>305</v>
      </c>
      <c r="H111" s="3" t="s">
        <v>306</v>
      </c>
      <c r="I111" s="3" t="s">
        <v>17</v>
      </c>
      <c r="J111" s="3"/>
      <c r="K111" s="3"/>
      <c r="L111" s="3"/>
      <c r="M111" s="3"/>
      <c r="N111" s="3"/>
      <c r="O111" s="3">
        <f>COUNTA(표1_423[[#This Row],[죄명(한글)]:[죄명(한글)12]])</f>
        <v>7</v>
      </c>
    </row>
    <row r="112" spans="1:15" x14ac:dyDescent="0.4">
      <c r="A112" s="1">
        <v>342</v>
      </c>
      <c r="B112" s="1" t="s">
        <v>307</v>
      </c>
      <c r="C112" s="2" t="s">
        <v>204</v>
      </c>
      <c r="D112" s="3" t="s">
        <v>199</v>
      </c>
      <c r="E112" s="3" t="s">
        <v>205</v>
      </c>
      <c r="F112" s="3" t="s">
        <v>153</v>
      </c>
      <c r="G112" s="3" t="s">
        <v>82</v>
      </c>
      <c r="H112" s="3" t="s">
        <v>65</v>
      </c>
      <c r="I112" s="3" t="s">
        <v>239</v>
      </c>
      <c r="J112" s="3" t="s">
        <v>240</v>
      </c>
      <c r="K112" s="3"/>
      <c r="L112" s="3"/>
      <c r="M112" s="3"/>
      <c r="N112" s="3"/>
      <c r="O112" s="3">
        <f>COUNTA(표1_423[[#This Row],[죄명(한글)]:[죄명(한글)12]])</f>
        <v>8</v>
      </c>
    </row>
    <row r="113" spans="1:15" x14ac:dyDescent="0.4">
      <c r="A113" s="1">
        <v>343</v>
      </c>
      <c r="B113" s="1" t="s">
        <v>308</v>
      </c>
      <c r="C113" s="2" t="s">
        <v>38</v>
      </c>
      <c r="D113" s="3" t="s">
        <v>172</v>
      </c>
      <c r="E113" s="3" t="s">
        <v>309</v>
      </c>
      <c r="F113" s="3" t="s">
        <v>310</v>
      </c>
      <c r="G113" s="3" t="s">
        <v>60</v>
      </c>
      <c r="H113" s="3"/>
      <c r="I113" s="3"/>
      <c r="J113" s="3"/>
      <c r="K113" s="3"/>
      <c r="L113" s="3"/>
      <c r="M113" s="3"/>
      <c r="N113" s="3"/>
      <c r="O113" s="3">
        <f>COUNTA(표1_423[[#This Row],[죄명(한글)]:[죄명(한글)12]])</f>
        <v>5</v>
      </c>
    </row>
    <row r="114" spans="1:15" x14ac:dyDescent="0.4">
      <c r="A114" s="1">
        <v>347</v>
      </c>
      <c r="B114" s="1" t="s">
        <v>311</v>
      </c>
      <c r="C114" s="3" t="s">
        <v>34</v>
      </c>
      <c r="D114" s="3" t="s">
        <v>166</v>
      </c>
      <c r="E114" s="3" t="s">
        <v>312</v>
      </c>
      <c r="F114" s="3" t="s">
        <v>60</v>
      </c>
      <c r="G114" s="3" t="s">
        <v>313</v>
      </c>
      <c r="H114" s="3"/>
      <c r="I114" s="3"/>
      <c r="J114" s="3"/>
      <c r="K114" s="3"/>
      <c r="L114" s="3"/>
      <c r="M114" s="3"/>
      <c r="N114" s="3"/>
      <c r="O114" s="3">
        <f>COUNTA(표1_423[[#This Row],[죄명(한글)]:[죄명(한글)12]])</f>
        <v>5</v>
      </c>
    </row>
    <row r="115" spans="1:15" x14ac:dyDescent="0.4">
      <c r="A115" s="1">
        <v>353</v>
      </c>
      <c r="B115" s="1" t="s">
        <v>314</v>
      </c>
      <c r="C115" s="2" t="s">
        <v>100</v>
      </c>
      <c r="D115" s="3" t="s">
        <v>166</v>
      </c>
      <c r="E115" s="3" t="s">
        <v>246</v>
      </c>
      <c r="F115" s="3" t="s">
        <v>291</v>
      </c>
      <c r="G115" s="3" t="s">
        <v>15</v>
      </c>
      <c r="H115" s="3" t="s">
        <v>60</v>
      </c>
      <c r="I115" s="3" t="s">
        <v>207</v>
      </c>
      <c r="J115" s="3"/>
      <c r="K115" s="3"/>
      <c r="L115" s="3"/>
      <c r="M115" s="3"/>
      <c r="N115" s="3"/>
      <c r="O115" s="3">
        <f>COUNTA(표1_423[[#This Row],[죄명(한글)]:[죄명(한글)12]])</f>
        <v>7</v>
      </c>
    </row>
    <row r="116" spans="1:15" x14ac:dyDescent="0.4">
      <c r="A116" s="1">
        <v>354</v>
      </c>
      <c r="B116" s="1" t="s">
        <v>315</v>
      </c>
      <c r="C116" s="2" t="s">
        <v>316</v>
      </c>
      <c r="D116" s="3" t="s">
        <v>166</v>
      </c>
      <c r="E116" s="3" t="s">
        <v>317</v>
      </c>
      <c r="F116" s="3" t="s">
        <v>185</v>
      </c>
      <c r="G116" s="3" t="s">
        <v>131</v>
      </c>
      <c r="H116" s="3" t="s">
        <v>17</v>
      </c>
      <c r="I116" s="3" t="s">
        <v>60</v>
      </c>
      <c r="J116" s="3"/>
      <c r="K116" s="3"/>
      <c r="L116" s="3"/>
      <c r="M116" s="3"/>
      <c r="N116" s="3"/>
      <c r="O116" s="3">
        <f>COUNTA(표1_423[[#This Row],[죄명(한글)]:[죄명(한글)12]])</f>
        <v>7</v>
      </c>
    </row>
    <row r="117" spans="1:15" x14ac:dyDescent="0.4">
      <c r="A117" s="1">
        <v>358</v>
      </c>
      <c r="B117" s="1" t="s">
        <v>318</v>
      </c>
      <c r="C117" s="2" t="s">
        <v>38</v>
      </c>
      <c r="D117" s="3" t="s">
        <v>319</v>
      </c>
      <c r="E117" s="3" t="s">
        <v>26</v>
      </c>
      <c r="F117" s="3" t="s">
        <v>166</v>
      </c>
      <c r="G117" s="3" t="s">
        <v>17</v>
      </c>
      <c r="H117" s="3"/>
      <c r="I117" s="3"/>
      <c r="J117" s="3"/>
      <c r="K117" s="3"/>
      <c r="L117" s="3"/>
      <c r="M117" s="3"/>
      <c r="N117" s="3"/>
      <c r="O117" s="3">
        <f>COUNTA(표1_423[[#This Row],[죄명(한글)]:[죄명(한글)12]])</f>
        <v>5</v>
      </c>
    </row>
    <row r="118" spans="1:15" x14ac:dyDescent="0.4">
      <c r="A118" s="1">
        <v>359</v>
      </c>
      <c r="B118" s="1" t="s">
        <v>320</v>
      </c>
      <c r="C118" s="2" t="s">
        <v>34</v>
      </c>
      <c r="D118" s="3" t="s">
        <v>243</v>
      </c>
      <c r="E118" s="3" t="s">
        <v>321</v>
      </c>
      <c r="F118" s="3" t="s">
        <v>84</v>
      </c>
      <c r="G118" s="3" t="s">
        <v>246</v>
      </c>
      <c r="H118" s="3" t="s">
        <v>60</v>
      </c>
      <c r="I118" s="3"/>
      <c r="J118" s="3"/>
      <c r="K118" s="3"/>
      <c r="L118" s="3"/>
      <c r="M118" s="3"/>
      <c r="N118" s="3"/>
      <c r="O118" s="3">
        <f>COUNTA(표1_423[[#This Row],[죄명(한글)]:[죄명(한글)12]])</f>
        <v>6</v>
      </c>
    </row>
    <row r="119" spans="1:15" x14ac:dyDescent="0.4">
      <c r="A119" s="1">
        <v>368</v>
      </c>
      <c r="B119" s="1" t="s">
        <v>322</v>
      </c>
      <c r="C119" s="2" t="s">
        <v>17</v>
      </c>
      <c r="D119" s="3" t="s">
        <v>32</v>
      </c>
      <c r="E119" s="3" t="s">
        <v>166</v>
      </c>
      <c r="F119" s="3" t="s">
        <v>246</v>
      </c>
      <c r="G119" s="3" t="s">
        <v>60</v>
      </c>
      <c r="H119" s="3" t="s">
        <v>121</v>
      </c>
      <c r="I119" s="3" t="s">
        <v>323</v>
      </c>
      <c r="J119" s="3" t="s">
        <v>34</v>
      </c>
      <c r="K119" s="3"/>
      <c r="L119" s="3"/>
      <c r="M119" s="3"/>
      <c r="N119" s="3"/>
      <c r="O119" s="3">
        <f>COUNTA(표1_423[[#This Row],[죄명(한글)]:[죄명(한글)12]])</f>
        <v>8</v>
      </c>
    </row>
    <row r="120" spans="1:15" x14ac:dyDescent="0.4">
      <c r="A120" s="1">
        <v>369</v>
      </c>
      <c r="B120" s="1" t="s">
        <v>324</v>
      </c>
      <c r="C120" s="4" t="s">
        <v>32</v>
      </c>
      <c r="D120" s="3" t="s">
        <v>65</v>
      </c>
      <c r="E120" s="3" t="s">
        <v>325</v>
      </c>
      <c r="F120" s="3" t="s">
        <v>326</v>
      </c>
      <c r="G120" s="3" t="s">
        <v>199</v>
      </c>
      <c r="H120" s="3" t="s">
        <v>246</v>
      </c>
      <c r="I120" s="3" t="s">
        <v>327</v>
      </c>
      <c r="J120" s="3" t="s">
        <v>60</v>
      </c>
      <c r="K120" s="3"/>
      <c r="L120" s="3"/>
      <c r="M120" s="3"/>
      <c r="N120" s="3"/>
      <c r="O120" s="3">
        <f>COUNTA(표1_423[[#This Row],[죄명(한글)]:[죄명(한글)12]])</f>
        <v>8</v>
      </c>
    </row>
    <row r="121" spans="1:15" x14ac:dyDescent="0.4">
      <c r="A121" s="1">
        <v>371</v>
      </c>
      <c r="B121" s="1" t="s">
        <v>328</v>
      </c>
      <c r="C121" s="2" t="s">
        <v>221</v>
      </c>
      <c r="D121" s="3" t="s">
        <v>131</v>
      </c>
      <c r="E121" s="3" t="s">
        <v>15</v>
      </c>
      <c r="F121" s="3" t="s">
        <v>267</v>
      </c>
      <c r="G121" s="3"/>
      <c r="H121" s="3"/>
      <c r="I121" s="3"/>
      <c r="J121" s="3"/>
      <c r="K121" s="3"/>
      <c r="L121" s="3"/>
      <c r="M121" s="3"/>
      <c r="N121" s="3"/>
      <c r="O121" s="3">
        <f>COUNTA(표1_423[[#This Row],[죄명(한글)]:[죄명(한글)12]])</f>
        <v>4</v>
      </c>
    </row>
    <row r="122" spans="1:15" x14ac:dyDescent="0.4">
      <c r="A122" s="1">
        <v>373</v>
      </c>
      <c r="B122" s="1" t="s">
        <v>329</v>
      </c>
      <c r="C122" s="2" t="s">
        <v>208</v>
      </c>
      <c r="D122" s="3" t="s">
        <v>330</v>
      </c>
      <c r="E122" s="3" t="s">
        <v>246</v>
      </c>
      <c r="F122" s="3" t="s">
        <v>38</v>
      </c>
      <c r="G122" s="3" t="s">
        <v>34</v>
      </c>
      <c r="H122" s="3" t="s">
        <v>60</v>
      </c>
      <c r="I122" s="3" t="s">
        <v>17</v>
      </c>
      <c r="J122" s="3"/>
      <c r="K122" s="3"/>
      <c r="L122" s="3"/>
      <c r="M122" s="3"/>
      <c r="N122" s="3"/>
      <c r="O122" s="3">
        <f>COUNTA(표1_423[[#This Row],[죄명(한글)]:[죄명(한글)12]])</f>
        <v>7</v>
      </c>
    </row>
    <row r="123" spans="1:15" x14ac:dyDescent="0.4">
      <c r="A123" s="1">
        <v>376</v>
      </c>
      <c r="B123" s="1" t="s">
        <v>331</v>
      </c>
      <c r="C123" s="2" t="s">
        <v>332</v>
      </c>
      <c r="D123" s="3" t="s">
        <v>166</v>
      </c>
      <c r="E123" s="3" t="s">
        <v>246</v>
      </c>
      <c r="F123" s="3" t="s">
        <v>60</v>
      </c>
      <c r="G123" s="3" t="s">
        <v>102</v>
      </c>
      <c r="H123" s="3" t="s">
        <v>17</v>
      </c>
      <c r="I123" s="3"/>
      <c r="J123" s="3"/>
      <c r="K123" s="3"/>
      <c r="L123" s="3"/>
      <c r="M123" s="3"/>
      <c r="N123" s="3"/>
      <c r="O123" s="3">
        <f>COUNTA(표1_423[[#This Row],[죄명(한글)]:[죄명(한글)12]])</f>
        <v>6</v>
      </c>
    </row>
    <row r="124" spans="1:15" x14ac:dyDescent="0.4">
      <c r="A124" s="1">
        <v>377</v>
      </c>
      <c r="B124" s="1" t="s">
        <v>333</v>
      </c>
      <c r="C124" s="2" t="s">
        <v>207</v>
      </c>
      <c r="D124" s="3" t="s">
        <v>300</v>
      </c>
      <c r="E124" s="3" t="s">
        <v>334</v>
      </c>
      <c r="F124" s="3" t="s">
        <v>172</v>
      </c>
      <c r="G124" s="3" t="s">
        <v>174</v>
      </c>
      <c r="H124" s="3" t="s">
        <v>34</v>
      </c>
      <c r="I124" s="3" t="s">
        <v>163</v>
      </c>
      <c r="J124" s="3" t="s">
        <v>76</v>
      </c>
      <c r="K124" s="3" t="s">
        <v>335</v>
      </c>
      <c r="L124" s="3" t="s">
        <v>17</v>
      </c>
      <c r="M124" s="3" t="s">
        <v>60</v>
      </c>
      <c r="N124" s="3"/>
      <c r="O124" s="3">
        <f>COUNTA(표1_423[[#This Row],[죄명(한글)]:[죄명(한글)12]])</f>
        <v>11</v>
      </c>
    </row>
    <row r="125" spans="1:15" x14ac:dyDescent="0.4">
      <c r="A125" s="1">
        <v>378</v>
      </c>
      <c r="B125" s="1" t="s">
        <v>336</v>
      </c>
      <c r="C125" s="2" t="s">
        <v>32</v>
      </c>
      <c r="D125" s="3" t="s">
        <v>246</v>
      </c>
      <c r="E125" s="3" t="s">
        <v>221</v>
      </c>
      <c r="F125" s="3" t="s">
        <v>17</v>
      </c>
      <c r="G125" s="3" t="s">
        <v>60</v>
      </c>
      <c r="H125" s="3" t="s">
        <v>337</v>
      </c>
      <c r="I125" s="3"/>
      <c r="J125" s="3"/>
      <c r="K125" s="3"/>
      <c r="L125" s="3"/>
      <c r="M125" s="3"/>
      <c r="N125" s="3"/>
      <c r="O125" s="3">
        <f>COUNTA(표1_423[[#This Row],[죄명(한글)]:[죄명(한글)12]])</f>
        <v>6</v>
      </c>
    </row>
    <row r="126" spans="1:15" x14ac:dyDescent="0.4">
      <c r="A126" s="1">
        <v>379</v>
      </c>
      <c r="B126" s="1" t="s">
        <v>338</v>
      </c>
      <c r="C126" s="2" t="s">
        <v>34</v>
      </c>
      <c r="D126" s="3" t="s">
        <v>221</v>
      </c>
      <c r="E126" s="3" t="s">
        <v>246</v>
      </c>
      <c r="F126" s="3" t="s">
        <v>60</v>
      </c>
      <c r="G126" s="3" t="s">
        <v>56</v>
      </c>
      <c r="H126" s="3"/>
      <c r="I126" s="3"/>
      <c r="J126" s="3"/>
      <c r="K126" s="3"/>
      <c r="L126" s="3"/>
      <c r="M126" s="3"/>
      <c r="N126" s="3"/>
      <c r="O126" s="3">
        <f>COUNTA(표1_423[[#This Row],[죄명(한글)]:[죄명(한글)12]])</f>
        <v>5</v>
      </c>
    </row>
    <row r="127" spans="1:15" x14ac:dyDescent="0.4">
      <c r="A127" s="1">
        <v>380</v>
      </c>
      <c r="B127" s="1" t="s">
        <v>339</v>
      </c>
      <c r="C127" s="2" t="s">
        <v>84</v>
      </c>
      <c r="D127" s="3" t="s">
        <v>166</v>
      </c>
      <c r="E127" s="3" t="s">
        <v>246</v>
      </c>
      <c r="F127" s="3" t="s">
        <v>60</v>
      </c>
      <c r="G127" s="3" t="s">
        <v>340</v>
      </c>
      <c r="H127" s="3" t="s">
        <v>156</v>
      </c>
      <c r="I127" s="3"/>
      <c r="J127" s="3"/>
      <c r="K127" s="3"/>
      <c r="L127" s="3"/>
      <c r="M127" s="3"/>
      <c r="N127" s="3"/>
      <c r="O127" s="3">
        <f>COUNTA(표1_423[[#This Row],[죄명(한글)]:[죄명(한글)12]])</f>
        <v>6</v>
      </c>
    </row>
    <row r="128" spans="1:15" x14ac:dyDescent="0.4">
      <c r="A128" s="1">
        <v>383</v>
      </c>
      <c r="B128" s="1" t="s">
        <v>341</v>
      </c>
      <c r="C128" s="2" t="s">
        <v>56</v>
      </c>
      <c r="D128" s="3" t="s">
        <v>342</v>
      </c>
      <c r="E128" s="3" t="s">
        <v>38</v>
      </c>
      <c r="F128" s="3" t="s">
        <v>34</v>
      </c>
      <c r="G128" s="3" t="s">
        <v>27</v>
      </c>
      <c r="H128" s="3" t="s">
        <v>166</v>
      </c>
      <c r="I128" s="3" t="s">
        <v>60</v>
      </c>
      <c r="J128" s="3"/>
      <c r="K128" s="3"/>
      <c r="L128" s="3"/>
      <c r="M128" s="3"/>
      <c r="N128" s="3"/>
      <c r="O128" s="3">
        <f>COUNTA(표1_423[[#This Row],[죄명(한글)]:[죄명(한글)12]])</f>
        <v>7</v>
      </c>
    </row>
    <row r="129" spans="1:15" x14ac:dyDescent="0.4">
      <c r="A129" s="1">
        <v>384</v>
      </c>
      <c r="B129" s="1" t="s">
        <v>343</v>
      </c>
      <c r="C129" s="2" t="s">
        <v>32</v>
      </c>
      <c r="D129" s="3" t="s">
        <v>344</v>
      </c>
      <c r="E129" s="3" t="s">
        <v>246</v>
      </c>
      <c r="F129" s="3" t="s">
        <v>60</v>
      </c>
      <c r="G129" s="3"/>
      <c r="H129" s="3"/>
      <c r="I129" s="3"/>
      <c r="J129" s="3"/>
      <c r="K129" s="3"/>
      <c r="L129" s="3"/>
      <c r="M129" s="3"/>
      <c r="N129" s="3"/>
      <c r="O129" s="3">
        <f>COUNTA(표1_423[[#This Row],[죄명(한글)]:[죄명(한글)12]])</f>
        <v>4</v>
      </c>
    </row>
    <row r="130" spans="1:15" x14ac:dyDescent="0.4">
      <c r="A130" s="1">
        <v>389</v>
      </c>
      <c r="B130" s="1" t="s">
        <v>345</v>
      </c>
      <c r="C130" s="2" t="s">
        <v>131</v>
      </c>
      <c r="D130" s="3" t="s">
        <v>199</v>
      </c>
      <c r="E130" s="3" t="s">
        <v>200</v>
      </c>
      <c r="F130" s="3" t="s">
        <v>17</v>
      </c>
      <c r="G130" s="3" t="s">
        <v>58</v>
      </c>
      <c r="H130" s="3" t="s">
        <v>294</v>
      </c>
      <c r="I130" s="3" t="s">
        <v>17</v>
      </c>
      <c r="J130" s="3" t="s">
        <v>166</v>
      </c>
      <c r="K130" s="3" t="s">
        <v>172</v>
      </c>
      <c r="L130" s="3"/>
      <c r="M130" s="3"/>
      <c r="N130" s="3"/>
      <c r="O130" s="3">
        <f>COUNTA(표1_423[[#This Row],[죄명(한글)]:[죄명(한글)12]])</f>
        <v>9</v>
      </c>
    </row>
    <row r="131" spans="1:15" x14ac:dyDescent="0.4">
      <c r="A131" s="1">
        <v>394</v>
      </c>
      <c r="B131" s="1" t="s">
        <v>346</v>
      </c>
      <c r="C131" s="2" t="s">
        <v>121</v>
      </c>
      <c r="D131" s="3" t="s">
        <v>207</v>
      </c>
      <c r="E131" s="3" t="s">
        <v>102</v>
      </c>
      <c r="F131" s="3" t="s">
        <v>17</v>
      </c>
      <c r="G131" s="3" t="s">
        <v>166</v>
      </c>
      <c r="H131" s="3" t="s">
        <v>172</v>
      </c>
      <c r="I131" s="3" t="s">
        <v>52</v>
      </c>
      <c r="J131" s="3"/>
      <c r="K131" s="3"/>
      <c r="L131" s="3"/>
      <c r="M131" s="3"/>
      <c r="N131" s="3"/>
      <c r="O131" s="3">
        <f>COUNTA(표1_423[[#This Row],[죄명(한글)]:[죄명(한글)12]])</f>
        <v>7</v>
      </c>
    </row>
    <row r="132" spans="1:15" x14ac:dyDescent="0.4">
      <c r="A132" s="1">
        <v>396</v>
      </c>
      <c r="B132" s="1" t="s">
        <v>347</v>
      </c>
      <c r="C132" s="2" t="s">
        <v>131</v>
      </c>
      <c r="D132" s="3" t="s">
        <v>216</v>
      </c>
      <c r="E132" s="3" t="s">
        <v>17</v>
      </c>
      <c r="F132" s="3" t="s">
        <v>172</v>
      </c>
      <c r="G132" s="3" t="s">
        <v>348</v>
      </c>
      <c r="H132" s="3" t="s">
        <v>17</v>
      </c>
      <c r="I132" s="3" t="s">
        <v>166</v>
      </c>
      <c r="J132" s="3"/>
      <c r="K132" s="3"/>
      <c r="L132" s="3"/>
      <c r="M132" s="3"/>
      <c r="N132" s="3"/>
      <c r="O132" s="3">
        <f>COUNTA(표1_423[[#This Row],[죄명(한글)]:[죄명(한글)12]])</f>
        <v>7</v>
      </c>
    </row>
    <row r="133" spans="1:15" x14ac:dyDescent="0.4">
      <c r="A133" s="1">
        <v>397</v>
      </c>
      <c r="B133" s="1" t="s">
        <v>349</v>
      </c>
      <c r="C133" s="2" t="s">
        <v>131</v>
      </c>
      <c r="D133" s="3" t="s">
        <v>34</v>
      </c>
      <c r="E133" s="3" t="s">
        <v>166</v>
      </c>
      <c r="F133" s="3" t="s">
        <v>17</v>
      </c>
      <c r="G133" s="3" t="s">
        <v>172</v>
      </c>
      <c r="H133" s="3" t="s">
        <v>38</v>
      </c>
      <c r="I133" s="3" t="s">
        <v>259</v>
      </c>
      <c r="J133" s="3"/>
      <c r="K133" s="3"/>
      <c r="L133" s="3"/>
      <c r="M133" s="3"/>
      <c r="N133" s="3"/>
      <c r="O133" s="3">
        <f>COUNTA(표1_423[[#This Row],[죄명(한글)]:[죄명(한글)12]])</f>
        <v>7</v>
      </c>
    </row>
    <row r="134" spans="1:15" x14ac:dyDescent="0.4">
      <c r="A134" s="1">
        <v>400</v>
      </c>
      <c r="B134" s="1" t="s">
        <v>350</v>
      </c>
      <c r="C134" s="2" t="s">
        <v>351</v>
      </c>
      <c r="D134" s="3" t="s">
        <v>352</v>
      </c>
      <c r="E134" s="3" t="s">
        <v>166</v>
      </c>
      <c r="F134" s="3" t="s">
        <v>172</v>
      </c>
      <c r="G134" s="3" t="s">
        <v>17</v>
      </c>
      <c r="H134" s="3" t="s">
        <v>353</v>
      </c>
      <c r="I134" s="3"/>
      <c r="J134" s="3"/>
      <c r="K134" s="3"/>
      <c r="L134" s="3"/>
      <c r="M134" s="3"/>
      <c r="N134" s="3"/>
      <c r="O134" s="3">
        <f>COUNTA(표1_423[[#This Row],[죄명(한글)]:[죄명(한글)12]])</f>
        <v>6</v>
      </c>
    </row>
    <row r="135" spans="1:15" x14ac:dyDescent="0.4">
      <c r="A135" s="1">
        <v>403</v>
      </c>
      <c r="B135" s="1" t="s">
        <v>354</v>
      </c>
      <c r="C135" s="2" t="s">
        <v>207</v>
      </c>
      <c r="D135" s="3" t="s">
        <v>207</v>
      </c>
      <c r="E135" s="3" t="s">
        <v>17</v>
      </c>
      <c r="F135" s="3" t="s">
        <v>355</v>
      </c>
      <c r="G135" s="3" t="s">
        <v>267</v>
      </c>
      <c r="H135" s="3"/>
      <c r="I135" s="3"/>
      <c r="J135" s="3"/>
      <c r="K135" s="3"/>
      <c r="L135" s="3"/>
      <c r="M135" s="3"/>
      <c r="N135" s="3"/>
      <c r="O135" s="3">
        <f>COUNTA(표1_423[[#This Row],[죄명(한글)]:[죄명(한글)12]])</f>
        <v>5</v>
      </c>
    </row>
    <row r="136" spans="1:15" x14ac:dyDescent="0.4">
      <c r="A136" s="1">
        <v>408</v>
      </c>
      <c r="B136" s="1" t="s">
        <v>356</v>
      </c>
      <c r="C136" s="2" t="s">
        <v>131</v>
      </c>
      <c r="D136" s="3" t="s">
        <v>166</v>
      </c>
      <c r="E136" s="3" t="s">
        <v>17</v>
      </c>
      <c r="F136" s="3" t="s">
        <v>76</v>
      </c>
      <c r="G136" s="3" t="s">
        <v>172</v>
      </c>
      <c r="H136" s="3"/>
      <c r="I136" s="3"/>
      <c r="J136" s="3"/>
      <c r="K136" s="3"/>
      <c r="L136" s="3"/>
      <c r="M136" s="3"/>
      <c r="N136" s="3"/>
      <c r="O136" s="3">
        <f>COUNTA(표1_423[[#This Row],[죄명(한글)]:[죄명(한글)12]])</f>
        <v>5</v>
      </c>
    </row>
    <row r="137" spans="1:15" x14ac:dyDescent="0.4">
      <c r="A137" s="1">
        <v>411</v>
      </c>
      <c r="B137" s="1" t="s">
        <v>357</v>
      </c>
      <c r="C137" s="2" t="s">
        <v>14</v>
      </c>
      <c r="D137" s="3" t="s">
        <v>166</v>
      </c>
      <c r="E137" s="3" t="s">
        <v>131</v>
      </c>
      <c r="F137" s="3" t="s">
        <v>17</v>
      </c>
      <c r="G137" s="3" t="s">
        <v>76</v>
      </c>
      <c r="H137" s="3" t="s">
        <v>172</v>
      </c>
      <c r="I137" s="3"/>
      <c r="J137" s="3"/>
      <c r="K137" s="3"/>
      <c r="L137" s="3"/>
      <c r="M137" s="3"/>
      <c r="N137" s="3"/>
      <c r="O137" s="3">
        <f>COUNTA(표1_423[[#This Row],[죄명(한글)]:[죄명(한글)12]])</f>
        <v>6</v>
      </c>
    </row>
    <row r="138" spans="1:15" x14ac:dyDescent="0.4">
      <c r="A138" s="1">
        <v>412</v>
      </c>
      <c r="B138" s="1" t="s">
        <v>358</v>
      </c>
      <c r="C138" s="2" t="s">
        <v>26</v>
      </c>
      <c r="D138" s="3" t="s">
        <v>38</v>
      </c>
      <c r="E138" s="3" t="s">
        <v>300</v>
      </c>
      <c r="F138" s="3" t="s">
        <v>359</v>
      </c>
      <c r="G138" s="3" t="s">
        <v>102</v>
      </c>
      <c r="H138" s="3" t="s">
        <v>172</v>
      </c>
      <c r="I138" s="3" t="s">
        <v>166</v>
      </c>
      <c r="J138" s="3" t="s">
        <v>17</v>
      </c>
      <c r="K138" s="3"/>
      <c r="L138" s="3"/>
      <c r="M138" s="3"/>
      <c r="N138" s="3"/>
      <c r="O138" s="3">
        <f>COUNTA(표1_423[[#This Row],[죄명(한글)]:[죄명(한글)12]])</f>
        <v>8</v>
      </c>
    </row>
    <row r="139" spans="1:15" x14ac:dyDescent="0.4">
      <c r="A139" s="1">
        <v>420</v>
      </c>
      <c r="B139" s="1" t="s">
        <v>360</v>
      </c>
      <c r="C139" s="2" t="s">
        <v>32</v>
      </c>
      <c r="D139" s="3" t="s">
        <v>361</v>
      </c>
      <c r="E139" s="3" t="s">
        <v>153</v>
      </c>
      <c r="F139" s="3" t="s">
        <v>166</v>
      </c>
      <c r="G139" s="3" t="s">
        <v>362</v>
      </c>
      <c r="H139" s="3"/>
      <c r="I139" s="3"/>
      <c r="J139" s="3"/>
      <c r="K139" s="3"/>
      <c r="L139" s="3"/>
      <c r="M139" s="3"/>
      <c r="N139" s="3"/>
      <c r="O139" s="3">
        <f>COUNTA(표1_423[[#This Row],[죄명(한글)]:[죄명(한글)12]])</f>
        <v>5</v>
      </c>
    </row>
    <row r="140" spans="1:15" x14ac:dyDescent="0.4">
      <c r="A140" s="1">
        <v>421</v>
      </c>
      <c r="B140" s="1" t="s">
        <v>363</v>
      </c>
      <c r="C140" s="2" t="s">
        <v>121</v>
      </c>
      <c r="D140" s="3" t="s">
        <v>292</v>
      </c>
      <c r="E140" s="3" t="s">
        <v>172</v>
      </c>
      <c r="F140" s="3" t="s">
        <v>166</v>
      </c>
      <c r="G140" s="3"/>
      <c r="H140" s="3"/>
      <c r="I140" s="3"/>
      <c r="J140" s="3"/>
      <c r="K140" s="3"/>
      <c r="L140" s="3"/>
      <c r="M140" s="3"/>
      <c r="N140" s="3"/>
      <c r="O140" s="3">
        <f>COUNTA(표1_423[[#This Row],[죄명(한글)]:[죄명(한글)12]])</f>
        <v>4</v>
      </c>
    </row>
    <row r="141" spans="1:15" x14ac:dyDescent="0.4">
      <c r="A141" s="1">
        <v>422</v>
      </c>
      <c r="B141" s="1" t="s">
        <v>364</v>
      </c>
      <c r="C141" s="2" t="s">
        <v>121</v>
      </c>
      <c r="D141" s="3" t="s">
        <v>34</v>
      </c>
      <c r="E141" s="3" t="s">
        <v>131</v>
      </c>
      <c r="F141" s="3" t="s">
        <v>15</v>
      </c>
      <c r="G141" s="3" t="s">
        <v>166</v>
      </c>
      <c r="H141" s="3" t="s">
        <v>38</v>
      </c>
      <c r="I141" s="3"/>
      <c r="J141" s="3"/>
      <c r="K141" s="3"/>
      <c r="L141" s="3"/>
      <c r="M141" s="3"/>
      <c r="N141" s="3"/>
      <c r="O141" s="3">
        <f>COUNTA(표1_423[[#This Row],[죄명(한글)]:[죄명(한글)12]])</f>
        <v>6</v>
      </c>
    </row>
    <row r="142" spans="1:15" x14ac:dyDescent="0.4">
      <c r="A142" s="1">
        <v>428</v>
      </c>
      <c r="B142" s="1" t="s">
        <v>365</v>
      </c>
      <c r="C142" s="2" t="s">
        <v>306</v>
      </c>
      <c r="D142" s="3" t="s">
        <v>166</v>
      </c>
      <c r="E142" s="3" t="s">
        <v>77</v>
      </c>
      <c r="F142" s="3" t="s">
        <v>102</v>
      </c>
      <c r="G142" s="3" t="s">
        <v>366</v>
      </c>
      <c r="H142" s="3" t="s">
        <v>31</v>
      </c>
      <c r="I142" s="3"/>
      <c r="J142" s="3"/>
      <c r="K142" s="3"/>
      <c r="L142" s="3"/>
      <c r="M142" s="3"/>
      <c r="N142" s="3"/>
      <c r="O142" s="3">
        <f>COUNTA(표1_423[[#This Row],[죄명(한글)]:[죄명(한글)12]])</f>
        <v>6</v>
      </c>
    </row>
    <row r="143" spans="1:15" x14ac:dyDescent="0.4">
      <c r="A143" s="1">
        <v>439</v>
      </c>
      <c r="B143" s="1" t="s">
        <v>367</v>
      </c>
      <c r="C143" s="2" t="s">
        <v>17</v>
      </c>
      <c r="D143" s="3" t="s">
        <v>368</v>
      </c>
      <c r="E143" s="3" t="s">
        <v>369</v>
      </c>
      <c r="F143" s="3" t="s">
        <v>77</v>
      </c>
      <c r="G143" s="3"/>
      <c r="H143" s="3"/>
      <c r="I143" s="3"/>
      <c r="J143" s="3"/>
      <c r="K143" s="3"/>
      <c r="L143" s="3"/>
      <c r="M143" s="3"/>
      <c r="N143" s="3"/>
      <c r="O143" s="3">
        <f>COUNTA(표1_423[[#This Row],[죄명(한글)]:[죄명(한글)12]])</f>
        <v>4</v>
      </c>
    </row>
    <row r="144" spans="1:15" x14ac:dyDescent="0.4">
      <c r="A144" s="1">
        <v>448</v>
      </c>
      <c r="B144" s="1" t="s">
        <v>358</v>
      </c>
      <c r="C144" s="2" t="s">
        <v>26</v>
      </c>
      <c r="D144" s="3" t="s">
        <v>25</v>
      </c>
      <c r="E144" s="3" t="s">
        <v>207</v>
      </c>
      <c r="F144" s="3" t="s">
        <v>172</v>
      </c>
      <c r="G144" s="3" t="s">
        <v>102</v>
      </c>
      <c r="H144" s="3"/>
      <c r="I144" s="3"/>
      <c r="J144" s="3"/>
      <c r="K144" s="3"/>
      <c r="L144" s="3"/>
      <c r="M144" s="3"/>
      <c r="N144" s="3"/>
      <c r="O144" s="3">
        <f>COUNTA(표1_423[[#This Row],[죄명(한글)]:[죄명(한글)12]])</f>
        <v>5</v>
      </c>
    </row>
    <row r="145" spans="1:15" x14ac:dyDescent="0.4">
      <c r="A145" s="1">
        <v>453</v>
      </c>
      <c r="B145" s="1" t="s">
        <v>370</v>
      </c>
      <c r="C145" s="2" t="s">
        <v>371</v>
      </c>
      <c r="D145" s="3" t="s">
        <v>25</v>
      </c>
      <c r="E145" s="3" t="s">
        <v>372</v>
      </c>
      <c r="F145" s="3" t="s">
        <v>303</v>
      </c>
      <c r="G145" s="3" t="s">
        <v>373</v>
      </c>
      <c r="H145" s="3"/>
      <c r="I145" s="3"/>
      <c r="J145" s="3"/>
      <c r="K145" s="3"/>
      <c r="L145" s="3"/>
      <c r="M145" s="3"/>
      <c r="N145" s="3"/>
      <c r="O145" s="3">
        <f>COUNTA(표1_423[[#This Row],[죄명(한글)]:[죄명(한글)12]])</f>
        <v>5</v>
      </c>
    </row>
    <row r="146" spans="1:15" x14ac:dyDescent="0.4">
      <c r="A146" s="1">
        <v>457</v>
      </c>
      <c r="B146" s="1" t="s">
        <v>374</v>
      </c>
      <c r="C146" s="2" t="s">
        <v>121</v>
      </c>
      <c r="D146" s="3" t="s">
        <v>38</v>
      </c>
      <c r="E146" s="3" t="s">
        <v>102</v>
      </c>
      <c r="F146" s="3" t="s">
        <v>172</v>
      </c>
      <c r="G146" s="3"/>
      <c r="H146" s="3"/>
      <c r="I146" s="3"/>
      <c r="J146" s="3"/>
      <c r="K146" s="3"/>
      <c r="L146" s="3"/>
      <c r="M146" s="3"/>
      <c r="N146" s="3"/>
      <c r="O146" s="3">
        <f>COUNTA(표1_423[[#This Row],[죄명(한글)]:[죄명(한글)12]])</f>
        <v>4</v>
      </c>
    </row>
    <row r="147" spans="1:15" x14ac:dyDescent="0.4">
      <c r="A147" s="1">
        <v>458</v>
      </c>
      <c r="B147" s="1" t="s">
        <v>375</v>
      </c>
      <c r="C147" s="2" t="s">
        <v>244</v>
      </c>
      <c r="D147" s="3" t="s">
        <v>166</v>
      </c>
      <c r="E147" s="3" t="s">
        <v>376</v>
      </c>
      <c r="F147" s="3" t="s">
        <v>216</v>
      </c>
      <c r="G147" s="3" t="s">
        <v>377</v>
      </c>
      <c r="H147" s="3" t="s">
        <v>378</v>
      </c>
      <c r="I147" s="3" t="s">
        <v>379</v>
      </c>
      <c r="J147" s="3"/>
      <c r="K147" s="3"/>
      <c r="L147" s="3"/>
      <c r="M147" s="3"/>
      <c r="N147" s="3"/>
      <c r="O147" s="3">
        <f>COUNTA(표1_423[[#This Row],[죄명(한글)]:[죄명(한글)12]])</f>
        <v>7</v>
      </c>
    </row>
    <row r="148" spans="1:15" x14ac:dyDescent="0.4">
      <c r="A148" s="1">
        <v>461</v>
      </c>
      <c r="B148" s="1" t="s">
        <v>380</v>
      </c>
      <c r="C148" s="2" t="s">
        <v>121</v>
      </c>
      <c r="D148" s="3" t="s">
        <v>34</v>
      </c>
      <c r="E148" s="3" t="s">
        <v>185</v>
      </c>
      <c r="F148" s="3"/>
      <c r="G148" s="3"/>
      <c r="H148" s="3"/>
      <c r="I148" s="3"/>
      <c r="J148" s="3"/>
      <c r="K148" s="3"/>
      <c r="L148" s="3"/>
      <c r="M148" s="3"/>
      <c r="N148" s="3"/>
      <c r="O148" s="3">
        <f>COUNTA(표1_423[[#This Row],[죄명(한글)]:[죄명(한글)12]])</f>
        <v>3</v>
      </c>
    </row>
    <row r="149" spans="1:15" x14ac:dyDescent="0.4">
      <c r="A149" s="1">
        <v>464</v>
      </c>
      <c r="B149" s="1" t="s">
        <v>381</v>
      </c>
      <c r="C149" s="2" t="s">
        <v>207</v>
      </c>
      <c r="D149" s="3" t="s">
        <v>172</v>
      </c>
      <c r="E149" s="3" t="s">
        <v>310</v>
      </c>
      <c r="F149" s="3" t="s">
        <v>382</v>
      </c>
      <c r="G149" s="3" t="s">
        <v>383</v>
      </c>
      <c r="H149" s="3" t="s">
        <v>221</v>
      </c>
      <c r="I149" s="3"/>
      <c r="J149" s="3"/>
      <c r="K149" s="3"/>
      <c r="L149" s="3"/>
      <c r="M149" s="3"/>
      <c r="N149" s="3"/>
      <c r="O149" s="3">
        <f>COUNTA(표1_423[[#This Row],[죄명(한글)]:[죄명(한글)12]])</f>
        <v>6</v>
      </c>
    </row>
    <row r="150" spans="1:15" x14ac:dyDescent="0.4">
      <c r="A150" s="1">
        <v>470</v>
      </c>
      <c r="B150" s="1" t="s">
        <v>384</v>
      </c>
      <c r="C150" s="3" t="s">
        <v>60</v>
      </c>
      <c r="D150" s="3"/>
      <c r="E150" s="3"/>
      <c r="F150" s="3"/>
      <c r="G150" s="3"/>
      <c r="H150" s="3"/>
      <c r="I150" s="3"/>
      <c r="J150" s="3"/>
      <c r="K150" s="3"/>
      <c r="L150" s="3"/>
      <c r="M150" s="3"/>
      <c r="N150" s="3"/>
      <c r="O150" s="3">
        <f>COUNTA(표1_423[[#This Row],[죄명(한글)]:[죄명(한글)12]])</f>
        <v>1</v>
      </c>
    </row>
    <row r="151" spans="1:15" x14ac:dyDescent="0.4">
      <c r="A151" s="1">
        <v>472</v>
      </c>
      <c r="B151" s="1" t="s">
        <v>385</v>
      </c>
      <c r="C151" s="2" t="s">
        <v>386</v>
      </c>
      <c r="D151" s="3" t="s">
        <v>387</v>
      </c>
      <c r="E151" s="3" t="s">
        <v>388</v>
      </c>
      <c r="F151" s="3" t="s">
        <v>287</v>
      </c>
      <c r="G151" s="3" t="s">
        <v>74</v>
      </c>
      <c r="H151" s="3" t="s">
        <v>172</v>
      </c>
      <c r="I151" s="3" t="s">
        <v>121</v>
      </c>
      <c r="J151" s="3"/>
      <c r="K151" s="3"/>
      <c r="L151" s="3"/>
      <c r="M151" s="3"/>
      <c r="N151" s="3"/>
      <c r="O151" s="3">
        <f>COUNTA(표1_423[[#This Row],[죄명(한글)]:[죄명(한글)12]])</f>
        <v>7</v>
      </c>
    </row>
    <row r="152" spans="1:15" x14ac:dyDescent="0.4">
      <c r="A152" s="1">
        <v>475</v>
      </c>
      <c r="B152" s="1" t="s">
        <v>389</v>
      </c>
      <c r="C152" s="2" t="s">
        <v>390</v>
      </c>
      <c r="D152" s="3" t="s">
        <v>185</v>
      </c>
      <c r="E152" s="3" t="s">
        <v>246</v>
      </c>
      <c r="F152" s="3" t="s">
        <v>287</v>
      </c>
      <c r="G152" s="3" t="s">
        <v>267</v>
      </c>
      <c r="H152" s="3"/>
      <c r="I152" s="3"/>
      <c r="J152" s="3"/>
      <c r="K152" s="3"/>
      <c r="L152" s="3"/>
      <c r="M152" s="3"/>
      <c r="N152" s="3"/>
      <c r="O152" s="3">
        <f>COUNTA(표1_423[[#This Row],[죄명(한글)]:[죄명(한글)12]])</f>
        <v>5</v>
      </c>
    </row>
    <row r="153" spans="1:15" x14ac:dyDescent="0.4">
      <c r="A153" s="1">
        <v>477</v>
      </c>
      <c r="B153" s="1" t="s">
        <v>391</v>
      </c>
      <c r="C153" s="2" t="s">
        <v>392</v>
      </c>
      <c r="D153" s="3" t="s">
        <v>60</v>
      </c>
      <c r="E153" s="3" t="s">
        <v>119</v>
      </c>
      <c r="F153" s="3"/>
      <c r="G153" s="3"/>
      <c r="H153" s="3"/>
      <c r="I153" s="3"/>
      <c r="J153" s="3"/>
      <c r="K153" s="3"/>
      <c r="L153" s="3"/>
      <c r="M153" s="3"/>
      <c r="N153" s="3"/>
      <c r="O153" s="3">
        <f>COUNTA(표1_423[[#This Row],[죄명(한글)]:[죄명(한글)12]])</f>
        <v>3</v>
      </c>
    </row>
    <row r="154" spans="1:15" x14ac:dyDescent="0.4">
      <c r="A154" s="1">
        <v>483</v>
      </c>
      <c r="B154" s="1" t="s">
        <v>393</v>
      </c>
      <c r="C154" s="3" t="s">
        <v>394</v>
      </c>
      <c r="D154" s="3" t="s">
        <v>166</v>
      </c>
      <c r="E154" s="3" t="s">
        <v>153</v>
      </c>
      <c r="F154" s="3" t="s">
        <v>34</v>
      </c>
      <c r="G154" s="3" t="s">
        <v>395</v>
      </c>
      <c r="H154" s="3"/>
      <c r="I154" s="3"/>
      <c r="J154" s="3"/>
      <c r="K154" s="3"/>
      <c r="L154" s="3"/>
      <c r="M154" s="3"/>
      <c r="N154" s="3"/>
      <c r="O154" s="3">
        <f>COUNTA(표1_423[[#This Row],[죄명(한글)]:[죄명(한글)12]])</f>
        <v>5</v>
      </c>
    </row>
    <row r="155" spans="1:15" x14ac:dyDescent="0.4">
      <c r="A155" s="1">
        <v>488</v>
      </c>
      <c r="B155" s="1" t="s">
        <v>396</v>
      </c>
      <c r="C155" s="2" t="s">
        <v>397</v>
      </c>
      <c r="D155" s="3" t="s">
        <v>153</v>
      </c>
      <c r="E155" s="3" t="s">
        <v>398</v>
      </c>
      <c r="F155" s="3" t="s">
        <v>399</v>
      </c>
      <c r="G155" s="3" t="s">
        <v>400</v>
      </c>
      <c r="H155" s="3" t="s">
        <v>401</v>
      </c>
      <c r="I155" s="3" t="s">
        <v>166</v>
      </c>
      <c r="J155" s="3" t="s">
        <v>17</v>
      </c>
      <c r="K155" s="3" t="s">
        <v>216</v>
      </c>
      <c r="L155" s="3"/>
      <c r="M155" s="3"/>
      <c r="N155" s="3"/>
      <c r="O155" s="3">
        <f>COUNTA(표1_423[[#This Row],[죄명(한글)]:[죄명(한글)12]])</f>
        <v>9</v>
      </c>
    </row>
    <row r="156" spans="1:15" x14ac:dyDescent="0.4">
      <c r="A156" s="1">
        <v>509</v>
      </c>
      <c r="B156" s="1" t="s">
        <v>402</v>
      </c>
      <c r="C156" s="2" t="s">
        <v>244</v>
      </c>
      <c r="D156" s="3" t="s">
        <v>166</v>
      </c>
      <c r="E156" s="3" t="s">
        <v>403</v>
      </c>
      <c r="F156" s="3" t="s">
        <v>404</v>
      </c>
      <c r="G156" s="3" t="s">
        <v>281</v>
      </c>
      <c r="H156" s="3"/>
      <c r="I156" s="3"/>
      <c r="J156" s="3"/>
      <c r="K156" s="3"/>
      <c r="L156" s="3"/>
      <c r="M156" s="3"/>
      <c r="N156" s="3"/>
      <c r="O156" s="3">
        <f>COUNTA(표1_423[[#This Row],[죄명(한글)]:[죄명(한글)12]])</f>
        <v>5</v>
      </c>
    </row>
    <row r="157" spans="1:15" x14ac:dyDescent="0.4">
      <c r="A157" s="1">
        <v>510</v>
      </c>
      <c r="B157" s="1" t="s">
        <v>405</v>
      </c>
      <c r="C157" s="2" t="s">
        <v>200</v>
      </c>
      <c r="D157" s="3" t="s">
        <v>15</v>
      </c>
      <c r="E157" s="3" t="s">
        <v>406</v>
      </c>
      <c r="F157" s="3"/>
      <c r="G157" s="3"/>
      <c r="H157" s="3"/>
      <c r="I157" s="3"/>
      <c r="J157" s="3"/>
      <c r="K157" s="3"/>
      <c r="L157" s="3"/>
      <c r="M157" s="3"/>
      <c r="N157" s="3"/>
      <c r="O157" s="3">
        <f>COUNTA(표1_423[[#This Row],[죄명(한글)]:[죄명(한글)12]])</f>
        <v>3</v>
      </c>
    </row>
    <row r="158" spans="1:15" x14ac:dyDescent="0.4">
      <c r="A158" s="1">
        <v>515</v>
      </c>
      <c r="B158" s="1" t="s">
        <v>407</v>
      </c>
      <c r="C158" s="2" t="s">
        <v>115</v>
      </c>
      <c r="D158" s="3" t="s">
        <v>116</v>
      </c>
      <c r="E158" s="3" t="s">
        <v>205</v>
      </c>
      <c r="F158" s="3" t="s">
        <v>408</v>
      </c>
      <c r="G158" s="3"/>
      <c r="H158" s="3"/>
      <c r="I158" s="3"/>
      <c r="J158" s="3"/>
      <c r="K158" s="3"/>
      <c r="L158" s="3"/>
      <c r="M158" s="3"/>
      <c r="N158" s="3"/>
      <c r="O158" s="3">
        <f>COUNTA(표1_423[[#This Row],[죄명(한글)]:[죄명(한글)12]])</f>
        <v>4</v>
      </c>
    </row>
    <row r="159" spans="1:15" x14ac:dyDescent="0.4">
      <c r="A159" s="1">
        <v>517</v>
      </c>
      <c r="B159" s="1" t="s">
        <v>409</v>
      </c>
      <c r="C159" s="3" t="s">
        <v>26</v>
      </c>
      <c r="D159" s="3" t="s">
        <v>369</v>
      </c>
      <c r="E159" s="3" t="s">
        <v>172</v>
      </c>
      <c r="F159" s="3" t="s">
        <v>244</v>
      </c>
      <c r="G159" s="3"/>
      <c r="H159" s="3"/>
      <c r="I159" s="3"/>
      <c r="J159" s="3"/>
      <c r="K159" s="3"/>
      <c r="L159" s="3"/>
      <c r="M159" s="3"/>
      <c r="N159" s="3"/>
      <c r="O159" s="3">
        <f>COUNTA(표1_423[[#This Row],[죄명(한글)]:[죄명(한글)12]])</f>
        <v>4</v>
      </c>
    </row>
    <row r="160" spans="1:15" x14ac:dyDescent="0.4">
      <c r="A160" s="1">
        <v>526</v>
      </c>
      <c r="B160" s="1" t="s">
        <v>410</v>
      </c>
      <c r="C160" s="2" t="s">
        <v>90</v>
      </c>
      <c r="D160" s="3" t="s">
        <v>38</v>
      </c>
      <c r="E160" s="3" t="s">
        <v>32</v>
      </c>
      <c r="F160" s="3" t="s">
        <v>411</v>
      </c>
      <c r="G160" s="3" t="s">
        <v>412</v>
      </c>
      <c r="H160" s="3"/>
      <c r="I160" s="3"/>
      <c r="J160" s="3"/>
      <c r="K160" s="3"/>
      <c r="L160" s="3"/>
      <c r="M160" s="3"/>
      <c r="N160" s="3"/>
      <c r="O160" s="3">
        <f>COUNTA(표1_423[[#This Row],[죄명(한글)]:[죄명(한글)12]])</f>
        <v>5</v>
      </c>
    </row>
    <row r="161" spans="1:15" x14ac:dyDescent="0.4">
      <c r="A161" s="1">
        <v>532</v>
      </c>
      <c r="B161" s="1" t="s">
        <v>413</v>
      </c>
      <c r="C161" s="3" t="s">
        <v>102</v>
      </c>
      <c r="D161" s="3" t="s">
        <v>172</v>
      </c>
      <c r="E161" s="3"/>
      <c r="F161" s="3"/>
      <c r="G161" s="3"/>
      <c r="H161" s="3"/>
      <c r="I161" s="3"/>
      <c r="J161" s="3"/>
      <c r="K161" s="3"/>
      <c r="L161" s="3"/>
      <c r="M161" s="3"/>
      <c r="N161" s="3"/>
      <c r="O161" s="3">
        <f>COUNTA(표1_423[[#This Row],[죄명(한글)]:[죄명(한글)12]])</f>
        <v>2</v>
      </c>
    </row>
    <row r="162" spans="1:15" x14ac:dyDescent="0.4">
      <c r="A162" s="1">
        <v>536</v>
      </c>
      <c r="B162" s="1" t="s">
        <v>414</v>
      </c>
      <c r="C162" s="2" t="s">
        <v>244</v>
      </c>
      <c r="D162" s="3" t="s">
        <v>415</v>
      </c>
      <c r="E162" s="3" t="s">
        <v>416</v>
      </c>
      <c r="F162" s="3" t="s">
        <v>17</v>
      </c>
      <c r="G162" s="3"/>
      <c r="H162" s="3"/>
      <c r="I162" s="3"/>
      <c r="J162" s="3"/>
      <c r="K162" s="3"/>
      <c r="L162" s="3"/>
      <c r="M162" s="3"/>
      <c r="N162" s="3"/>
      <c r="O162" s="3">
        <f>COUNTA(표1_423[[#This Row],[죄명(한글)]:[죄명(한글)12]])</f>
        <v>4</v>
      </c>
    </row>
    <row r="163" spans="1:15" x14ac:dyDescent="0.4">
      <c r="A163" s="1">
        <v>537</v>
      </c>
      <c r="B163" s="1" t="s">
        <v>417</v>
      </c>
      <c r="C163" s="2" t="s">
        <v>244</v>
      </c>
      <c r="D163" s="3" t="s">
        <v>199</v>
      </c>
      <c r="E163" s="3"/>
      <c r="F163" s="3"/>
      <c r="G163" s="3"/>
      <c r="H163" s="3"/>
      <c r="I163" s="3"/>
      <c r="J163" s="3"/>
      <c r="K163" s="3"/>
      <c r="L163" s="3"/>
      <c r="M163" s="3"/>
      <c r="N163" s="3"/>
      <c r="O163" s="3">
        <f>COUNTA(표1_423[[#This Row],[죄명(한글)]:[죄명(한글)12]])</f>
        <v>2</v>
      </c>
    </row>
    <row r="164" spans="1:15" x14ac:dyDescent="0.4">
      <c r="A164" s="1">
        <v>538</v>
      </c>
      <c r="B164" s="1" t="s">
        <v>385</v>
      </c>
      <c r="C164" s="2" t="s">
        <v>14</v>
      </c>
      <c r="D164" s="3" t="s">
        <v>287</v>
      </c>
      <c r="E164" s="3" t="s">
        <v>132</v>
      </c>
      <c r="F164" s="3" t="s">
        <v>418</v>
      </c>
      <c r="G164" s="3" t="s">
        <v>419</v>
      </c>
      <c r="H164" s="3" t="s">
        <v>221</v>
      </c>
      <c r="I164" s="3"/>
      <c r="J164" s="3"/>
      <c r="K164" s="3"/>
      <c r="L164" s="3"/>
      <c r="M164" s="3"/>
      <c r="N164" s="3"/>
      <c r="O164" s="3">
        <f>COUNTA(표1_423[[#This Row],[죄명(한글)]:[죄명(한글)12]])</f>
        <v>6</v>
      </c>
    </row>
    <row r="165" spans="1:15" x14ac:dyDescent="0.4">
      <c r="A165" s="1">
        <v>540</v>
      </c>
      <c r="B165" s="1" t="s">
        <v>420</v>
      </c>
      <c r="C165" s="2" t="s">
        <v>251</v>
      </c>
      <c r="D165" s="3" t="s">
        <v>421</v>
      </c>
      <c r="E165" s="3" t="s">
        <v>422</v>
      </c>
      <c r="F165" s="3" t="s">
        <v>17</v>
      </c>
      <c r="G165" s="3" t="s">
        <v>244</v>
      </c>
      <c r="H165" s="3"/>
      <c r="I165" s="3"/>
      <c r="J165" s="3"/>
      <c r="K165" s="3"/>
      <c r="L165" s="3"/>
      <c r="M165" s="3"/>
      <c r="N165" s="3"/>
      <c r="O165" s="3">
        <f>COUNTA(표1_423[[#This Row],[죄명(한글)]:[죄명(한글)12]])</f>
        <v>5</v>
      </c>
    </row>
    <row r="166" spans="1:15" x14ac:dyDescent="0.4">
      <c r="A166" s="1">
        <v>555</v>
      </c>
      <c r="B166" s="1" t="s">
        <v>423</v>
      </c>
      <c r="C166" s="2" t="s">
        <v>131</v>
      </c>
      <c r="D166" s="3" t="s">
        <v>96</v>
      </c>
      <c r="E166" s="3"/>
      <c r="F166" s="3"/>
      <c r="G166" s="3"/>
      <c r="H166" s="3"/>
      <c r="I166" s="3"/>
      <c r="J166" s="3"/>
      <c r="K166" s="3"/>
      <c r="L166" s="3"/>
      <c r="M166" s="3"/>
      <c r="N166" s="3"/>
      <c r="O166" s="3">
        <f>COUNTA(표1_423[[#This Row],[죄명(한글)]:[죄명(한글)12]])</f>
        <v>2</v>
      </c>
    </row>
    <row r="167" spans="1:15" x14ac:dyDescent="0.4">
      <c r="D167" s="3"/>
      <c r="E167" s="3"/>
      <c r="F167" s="3"/>
      <c r="G167" s="3"/>
      <c r="H167" s="3"/>
      <c r="I167" s="3"/>
      <c r="J167" s="3"/>
      <c r="K167" s="3"/>
      <c r="L167" s="3"/>
      <c r="M167" s="3"/>
      <c r="N167" s="3"/>
      <c r="O167" s="3">
        <f>SUBTOTAL(109,표1_423[비고])</f>
        <v>851</v>
      </c>
    </row>
  </sheetData>
  <phoneticPr fontId="2" type="noConversion"/>
  <pageMargins left="0.25" right="0.25" top="0.39" bottom="0.33" header="0.3" footer="0.3"/>
  <pageSetup paperSize="9" scale="57"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1_데이터수집(URL)</vt:lpstr>
      <vt:lpstr>2_데이터추출(국가_기관_범죄유형)</vt:lpstr>
      <vt:lpstr>기관_추출</vt:lpstr>
      <vt:lpstr>국가_추출</vt:lpstr>
      <vt:lpstr>범죄유형_추출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Moon</dc:creator>
  <cp:lastModifiedBy>Dr. Moon</cp:lastModifiedBy>
  <dcterms:created xsi:type="dcterms:W3CDTF">2025-08-19T23:30:07Z</dcterms:created>
  <dcterms:modified xsi:type="dcterms:W3CDTF">2026-05-04T01:32:47Z</dcterms:modified>
</cp:coreProperties>
</file>